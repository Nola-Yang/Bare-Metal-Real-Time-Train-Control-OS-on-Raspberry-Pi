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Train Deacceleration" sheetId="2" r:id="rId5"/>
  </sheets>
  <definedNames>
    <definedName hidden="1" localSheetId="0" name="_xlnm._FilterDatabase">'Raw Data'!$B$1:$B$998</definedName>
  </definedNames>
  <calcPr/>
  <extLst>
    <ext uri="GoogleSheetsCustomDataVersion2">
      <go:sheetsCustomData xmlns:go="http://customooxmlschemas.google.com/" r:id="rId6" roundtripDataChecksum="kMb26JBYJOiXy25a1w7ubFLtFi5igkwgOguGHJq0sHM="/>
    </ext>
  </extLst>
</workbook>
</file>

<file path=xl/sharedStrings.xml><?xml version="1.0" encoding="utf-8"?>
<sst xmlns="http://schemas.openxmlformats.org/spreadsheetml/2006/main" count="212" uniqueCount="27">
  <si>
    <t>Track</t>
  </si>
  <si>
    <t>Train No</t>
  </si>
  <si>
    <t>Start Sensor</t>
  </si>
  <si>
    <t>End Sensor</t>
  </si>
  <si>
    <t>Speed Step</t>
  </si>
  <si>
    <t>Constant Speed Distance (mm)</t>
  </si>
  <si>
    <t>Constant Speed Time Start (us)</t>
  </si>
  <si>
    <t>Current Speed Time End (us)</t>
  </si>
  <si>
    <t>Overshoot End time (us)</t>
  </si>
  <si>
    <t>distance (mm)</t>
  </si>
  <si>
    <t>Offset Correction (mm)</t>
  </si>
  <si>
    <t>Distance to metal plate (mm)</t>
  </si>
  <si>
    <t>Constant Speed Time Difference (us)</t>
  </si>
  <si>
    <t>Overshoot Time Difference (us)</t>
  </si>
  <si>
    <t>Observed Speed (mm/us)</t>
  </si>
  <si>
    <t>Overshoot Distance</t>
  </si>
  <si>
    <t>Distance Without Overshoot From Sensor (mm)</t>
  </si>
  <si>
    <t>V_i ^ 4</t>
  </si>
  <si>
    <t>V_i ^ 2</t>
  </si>
  <si>
    <t>V_i ^ 2 * di</t>
  </si>
  <si>
    <t>A</t>
  </si>
  <si>
    <t>C5</t>
  </si>
  <si>
    <t>C15</t>
  </si>
  <si>
    <t>B</t>
  </si>
  <si>
    <t>Numerator Sum</t>
  </si>
  <si>
    <t>Denominator Sum</t>
  </si>
  <si>
    <t>Deacceleration (mm/s)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</si>
</sst>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5" width="16.63"/>
    <col customWidth="1" min="6" max="6" width="19.75"/>
    <col customWidth="1" min="7" max="7" width="16.63"/>
    <col customWidth="1" min="8" max="8" width="16.25"/>
    <col customWidth="1" min="9" max="9" width="20.38"/>
    <col customWidth="1" min="10" max="10" width="12.38"/>
    <col customWidth="1" min="11" max="13" width="28.25"/>
    <col customWidth="1" min="14" max="14" width="25.63"/>
    <col customWidth="1" min="15" max="15" width="21.0"/>
    <col customWidth="1" min="16" max="16" width="21.38"/>
    <col customWidth="1" min="17" max="17" width="45.13"/>
    <col customWidth="1" min="18" max="34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/>
      <c r="S1" s="3"/>
      <c r="T1" s="3"/>
      <c r="U1" s="1" t="s">
        <v>17</v>
      </c>
      <c r="V1" s="1" t="s">
        <v>18</v>
      </c>
      <c r="W1" s="1" t="s">
        <v>19</v>
      </c>
    </row>
    <row r="2" ht="12.75" customHeight="1">
      <c r="A2" s="4" t="s">
        <v>20</v>
      </c>
      <c r="B2" s="5">
        <v>18.0</v>
      </c>
      <c r="C2" s="4" t="s">
        <v>21</v>
      </c>
      <c r="D2" s="4" t="s">
        <v>22</v>
      </c>
      <c r="E2" s="5">
        <v>8.0</v>
      </c>
      <c r="F2" s="6">
        <v>300.0</v>
      </c>
      <c r="G2" s="5">
        <v>8.4764504E7</v>
      </c>
      <c r="H2" s="5">
        <v>8.5664578E7</v>
      </c>
      <c r="I2" s="5">
        <v>8.5666494E7</v>
      </c>
      <c r="J2" s="5">
        <v>233.5</v>
      </c>
      <c r="K2" s="4">
        <v>81.0</v>
      </c>
      <c r="L2" s="5">
        <f t="shared" ref="L2:L59" si="2">J2 + K2</f>
        <v>314.5</v>
      </c>
      <c r="M2" s="5">
        <f t="shared" ref="M2:N2" si="1">H2 - G2</f>
        <v>900074</v>
      </c>
      <c r="N2" s="5">
        <f t="shared" si="1"/>
        <v>1916</v>
      </c>
      <c r="O2" s="5">
        <f t="shared" ref="O2:O59" si="4">F2 / M2</f>
        <v>0.0003333059282</v>
      </c>
      <c r="P2" s="5">
        <f t="shared" ref="P2:P59" si="5">O2 * N2</f>
        <v>0.6386141584</v>
      </c>
      <c r="Q2" s="5">
        <f t="shared" ref="Q2:Q59" si="6">L2 - P2</f>
        <v>313.8613858</v>
      </c>
      <c r="S2" s="5">
        <f t="shared" ref="S2:S59" si="7">M2 - N2</f>
        <v>898158</v>
      </c>
      <c r="U2" s="5">
        <f t="shared" ref="U2:U59" si="8">(O2 * 1000000) ^ 4</f>
        <v>12341619490</v>
      </c>
      <c r="V2" s="5">
        <f t="shared" ref="V2:V59" si="9">(O2 * 1000000) ^ 2</f>
        <v>111092.8418</v>
      </c>
      <c r="W2" s="5">
        <f t="shared" ref="W2:W59" si="10">V2 * Q2</f>
        <v>34867753.27</v>
      </c>
    </row>
    <row r="3" ht="12.75" customHeight="1">
      <c r="A3" s="4" t="s">
        <v>20</v>
      </c>
      <c r="B3" s="5">
        <v>18.0</v>
      </c>
      <c r="C3" s="4" t="s">
        <v>21</v>
      </c>
      <c r="D3" s="4" t="s">
        <v>22</v>
      </c>
      <c r="E3" s="5">
        <v>8.0</v>
      </c>
      <c r="F3" s="6">
        <v>300.0</v>
      </c>
      <c r="G3" s="5">
        <v>2.84281588E8</v>
      </c>
      <c r="H3" s="5">
        <v>2.85181626E8</v>
      </c>
      <c r="I3" s="5">
        <v>2.85183487E8</v>
      </c>
      <c r="J3" s="5">
        <v>233.5</v>
      </c>
      <c r="K3" s="4">
        <v>81.0</v>
      </c>
      <c r="L3" s="5">
        <f t="shared" si="2"/>
        <v>314.5</v>
      </c>
      <c r="M3" s="5">
        <f t="shared" ref="M3:N3" si="3">H3 - G3</f>
        <v>900038</v>
      </c>
      <c r="N3" s="5">
        <f t="shared" si="3"/>
        <v>1861</v>
      </c>
      <c r="O3" s="5">
        <f t="shared" si="4"/>
        <v>0.0003333192599</v>
      </c>
      <c r="P3" s="5">
        <f t="shared" si="5"/>
        <v>0.6203071426</v>
      </c>
      <c r="Q3" s="5">
        <f t="shared" si="6"/>
        <v>313.8796929</v>
      </c>
      <c r="S3" s="5">
        <f t="shared" si="7"/>
        <v>898177</v>
      </c>
      <c r="U3" s="5">
        <f t="shared" si="8"/>
        <v>12343594184</v>
      </c>
      <c r="V3" s="5">
        <f t="shared" si="9"/>
        <v>111101.729</v>
      </c>
      <c r="W3" s="5">
        <f t="shared" si="10"/>
        <v>34872576.57</v>
      </c>
    </row>
    <row r="4" ht="12.75" customHeight="1">
      <c r="A4" s="4" t="s">
        <v>20</v>
      </c>
      <c r="B4" s="5">
        <v>18.0</v>
      </c>
      <c r="C4" s="4" t="s">
        <v>21</v>
      </c>
      <c r="D4" s="4" t="s">
        <v>22</v>
      </c>
      <c r="E4" s="5">
        <v>8.0</v>
      </c>
      <c r="F4" s="6">
        <v>300.0</v>
      </c>
      <c r="G4" s="5">
        <v>3.48687126E8</v>
      </c>
      <c r="H4" s="5">
        <v>3.49687086E8</v>
      </c>
      <c r="I4" s="5">
        <v>3.4968893E8</v>
      </c>
      <c r="J4" s="5">
        <v>243.5</v>
      </c>
      <c r="K4" s="4">
        <v>81.0</v>
      </c>
      <c r="L4" s="5">
        <f t="shared" si="2"/>
        <v>324.5</v>
      </c>
      <c r="M4" s="5">
        <f t="shared" ref="M4:N4" si="11">H4 - G4</f>
        <v>999960</v>
      </c>
      <c r="N4" s="5">
        <f t="shared" si="11"/>
        <v>1844</v>
      </c>
      <c r="O4" s="5">
        <f t="shared" si="4"/>
        <v>0.0003000120005</v>
      </c>
      <c r="P4" s="5">
        <f t="shared" si="5"/>
        <v>0.5532221289</v>
      </c>
      <c r="Q4" s="5">
        <f t="shared" si="6"/>
        <v>323.9467779</v>
      </c>
      <c r="S4" s="5">
        <f t="shared" si="7"/>
        <v>998116</v>
      </c>
      <c r="U4" s="5">
        <f t="shared" si="8"/>
        <v>8101296130</v>
      </c>
      <c r="V4" s="5">
        <f t="shared" si="9"/>
        <v>90007.20043</v>
      </c>
      <c r="W4" s="5">
        <f t="shared" si="10"/>
        <v>29157542.57</v>
      </c>
    </row>
    <row r="5" ht="12.75" customHeight="1">
      <c r="A5" s="4" t="s">
        <v>20</v>
      </c>
      <c r="B5" s="5">
        <v>18.0</v>
      </c>
      <c r="C5" s="4" t="s">
        <v>21</v>
      </c>
      <c r="D5" s="4" t="s">
        <v>22</v>
      </c>
      <c r="E5" s="5">
        <v>8.0</v>
      </c>
      <c r="F5" s="6">
        <v>300.0</v>
      </c>
      <c r="G5" s="5">
        <v>4.14092634E8</v>
      </c>
      <c r="H5" s="5">
        <v>4.15092814E8</v>
      </c>
      <c r="I5" s="5">
        <v>4.15094701E8</v>
      </c>
      <c r="J5" s="5">
        <v>246.5</v>
      </c>
      <c r="K5" s="4">
        <v>81.0</v>
      </c>
      <c r="L5" s="5">
        <f t="shared" si="2"/>
        <v>327.5</v>
      </c>
      <c r="M5" s="5">
        <f t="shared" ref="M5:N5" si="12">H5 - G5</f>
        <v>1000180</v>
      </c>
      <c r="N5" s="5">
        <f t="shared" si="12"/>
        <v>1887</v>
      </c>
      <c r="O5" s="5">
        <f t="shared" si="4"/>
        <v>0.0002999460097</v>
      </c>
      <c r="P5" s="5">
        <f t="shared" si="5"/>
        <v>0.5659981203</v>
      </c>
      <c r="Q5" s="5">
        <f t="shared" si="6"/>
        <v>326.9340019</v>
      </c>
      <c r="S5" s="5">
        <f t="shared" si="7"/>
        <v>998293</v>
      </c>
      <c r="U5" s="5">
        <f t="shared" si="8"/>
        <v>8094170623</v>
      </c>
      <c r="V5" s="5">
        <f t="shared" si="9"/>
        <v>89967.60875</v>
      </c>
      <c r="W5" s="5">
        <f t="shared" si="10"/>
        <v>29413470.37</v>
      </c>
    </row>
    <row r="6" ht="12.75" customHeight="1">
      <c r="A6" s="4" t="s">
        <v>20</v>
      </c>
      <c r="B6" s="5">
        <v>18.0</v>
      </c>
      <c r="C6" s="4" t="s">
        <v>21</v>
      </c>
      <c r="D6" s="4" t="s">
        <v>22</v>
      </c>
      <c r="E6" s="5">
        <v>8.0</v>
      </c>
      <c r="F6" s="6">
        <v>300.0</v>
      </c>
      <c r="G6" s="5">
        <v>4.92299374E8</v>
      </c>
      <c r="H6" s="5">
        <v>4.93299523E8</v>
      </c>
      <c r="I6" s="5">
        <v>4.93301342E8</v>
      </c>
      <c r="J6" s="5">
        <v>253.5</v>
      </c>
      <c r="K6" s="4">
        <v>81.0</v>
      </c>
      <c r="L6" s="5">
        <f t="shared" si="2"/>
        <v>334.5</v>
      </c>
      <c r="M6" s="5">
        <f t="shared" ref="M6:N6" si="13">H6 - G6</f>
        <v>1000149</v>
      </c>
      <c r="N6" s="5">
        <f t="shared" si="13"/>
        <v>1819</v>
      </c>
      <c r="O6" s="5">
        <f t="shared" si="4"/>
        <v>0.0002999553067</v>
      </c>
      <c r="P6" s="5">
        <f t="shared" si="5"/>
        <v>0.5456187028</v>
      </c>
      <c r="Q6" s="5">
        <f t="shared" si="6"/>
        <v>333.9543813</v>
      </c>
      <c r="S6" s="5">
        <f t="shared" si="7"/>
        <v>998330</v>
      </c>
      <c r="U6" s="5">
        <f t="shared" si="8"/>
        <v>8095174198</v>
      </c>
      <c r="V6" s="5">
        <f t="shared" si="9"/>
        <v>89973.18599</v>
      </c>
      <c r="W6" s="5">
        <f t="shared" si="10"/>
        <v>30046939.66</v>
      </c>
    </row>
    <row r="7" ht="12.75" customHeight="1">
      <c r="A7" s="4" t="s">
        <v>20</v>
      </c>
      <c r="B7" s="5">
        <v>17.0</v>
      </c>
      <c r="C7" s="4" t="s">
        <v>21</v>
      </c>
      <c r="D7" s="4" t="s">
        <v>22</v>
      </c>
      <c r="E7" s="5">
        <v>8.0</v>
      </c>
      <c r="F7" s="6">
        <v>300.0</v>
      </c>
      <c r="G7" s="5">
        <v>6.4903142E7</v>
      </c>
      <c r="H7" s="5">
        <v>6.590338E7</v>
      </c>
      <c r="I7" s="5">
        <v>6.5905221E7</v>
      </c>
      <c r="J7" s="5">
        <v>216.0</v>
      </c>
      <c r="K7" s="4">
        <v>81.0</v>
      </c>
      <c r="L7" s="5">
        <f t="shared" si="2"/>
        <v>297</v>
      </c>
      <c r="M7" s="5">
        <f t="shared" ref="M7:N7" si="14">H7 - G7</f>
        <v>1000238</v>
      </c>
      <c r="N7" s="5">
        <f t="shared" si="14"/>
        <v>1841</v>
      </c>
      <c r="O7" s="5">
        <f t="shared" si="4"/>
        <v>0.000299928617</v>
      </c>
      <c r="P7" s="5">
        <f t="shared" si="5"/>
        <v>0.5521685839</v>
      </c>
      <c r="Q7" s="5">
        <f t="shared" si="6"/>
        <v>296.4478314</v>
      </c>
      <c r="S7" s="5">
        <f t="shared" si="7"/>
        <v>998397</v>
      </c>
      <c r="U7" s="5">
        <f t="shared" si="8"/>
        <v>8092293386</v>
      </c>
      <c r="V7" s="5">
        <f t="shared" si="9"/>
        <v>89957.17529</v>
      </c>
      <c r="W7" s="5">
        <f t="shared" si="10"/>
        <v>26667609.53</v>
      </c>
    </row>
    <row r="8" ht="12.75" customHeight="1">
      <c r="A8" s="4" t="s">
        <v>20</v>
      </c>
      <c r="B8" s="5">
        <v>17.0</v>
      </c>
      <c r="C8" s="4" t="s">
        <v>21</v>
      </c>
      <c r="D8" s="4" t="s">
        <v>22</v>
      </c>
      <c r="E8" s="5">
        <v>8.0</v>
      </c>
      <c r="F8" s="6">
        <v>300.0</v>
      </c>
      <c r="G8" s="5">
        <v>1.49310608E8</v>
      </c>
      <c r="H8" s="5">
        <v>1.50310614E8</v>
      </c>
      <c r="I8" s="5">
        <v>1.50312499E8</v>
      </c>
      <c r="J8" s="5">
        <v>233.5</v>
      </c>
      <c r="K8" s="4">
        <v>81.0</v>
      </c>
      <c r="L8" s="5">
        <f t="shared" si="2"/>
        <v>314.5</v>
      </c>
      <c r="M8" s="5">
        <f t="shared" ref="M8:N8" si="15">H8 - G8</f>
        <v>1000006</v>
      </c>
      <c r="N8" s="5">
        <f t="shared" si="15"/>
        <v>1885</v>
      </c>
      <c r="O8" s="5">
        <f t="shared" si="4"/>
        <v>0.0002999982</v>
      </c>
      <c r="P8" s="5">
        <f t="shared" si="5"/>
        <v>0.565496607</v>
      </c>
      <c r="Q8" s="5">
        <f t="shared" si="6"/>
        <v>313.9345034</v>
      </c>
      <c r="S8" s="5">
        <f t="shared" si="7"/>
        <v>998121</v>
      </c>
      <c r="U8" s="5">
        <f t="shared" si="8"/>
        <v>8099805603</v>
      </c>
      <c r="V8" s="5">
        <f t="shared" si="9"/>
        <v>89998.92001</v>
      </c>
      <c r="W8" s="5">
        <f t="shared" si="10"/>
        <v>28253766.26</v>
      </c>
    </row>
    <row r="9" ht="12.75" customHeight="1">
      <c r="A9" s="4" t="s">
        <v>20</v>
      </c>
      <c r="B9" s="5">
        <v>17.0</v>
      </c>
      <c r="C9" s="4" t="s">
        <v>21</v>
      </c>
      <c r="D9" s="4" t="s">
        <v>22</v>
      </c>
      <c r="E9" s="5">
        <v>8.0</v>
      </c>
      <c r="F9" s="6">
        <v>300.0</v>
      </c>
      <c r="G9" s="5">
        <v>2.33917858E8</v>
      </c>
      <c r="H9" s="5">
        <v>2.35017883E8</v>
      </c>
      <c r="I9" s="5">
        <v>2.350197E8</v>
      </c>
      <c r="J9" s="5">
        <v>236.0</v>
      </c>
      <c r="K9" s="4">
        <v>81.0</v>
      </c>
      <c r="L9" s="5">
        <f t="shared" si="2"/>
        <v>317</v>
      </c>
      <c r="M9" s="5">
        <f t="shared" ref="M9:N9" si="16">H9 - G9</f>
        <v>1100025</v>
      </c>
      <c r="N9" s="5">
        <f t="shared" si="16"/>
        <v>1817</v>
      </c>
      <c r="O9" s="5">
        <f t="shared" si="4"/>
        <v>0.0002727210745</v>
      </c>
      <c r="P9" s="5">
        <f t="shared" si="5"/>
        <v>0.4955341924</v>
      </c>
      <c r="Q9" s="5">
        <f t="shared" si="6"/>
        <v>316.5044658</v>
      </c>
      <c r="S9" s="5">
        <f t="shared" si="7"/>
        <v>1098208</v>
      </c>
      <c r="U9" s="5">
        <f t="shared" si="8"/>
        <v>5531906071</v>
      </c>
      <c r="V9" s="5">
        <f t="shared" si="9"/>
        <v>74376.78449</v>
      </c>
      <c r="W9" s="5">
        <f t="shared" si="10"/>
        <v>23540584.44</v>
      </c>
    </row>
    <row r="10" ht="12.75" customHeight="1">
      <c r="A10" s="4" t="s">
        <v>20</v>
      </c>
      <c r="B10" s="5">
        <v>17.0</v>
      </c>
      <c r="C10" s="4" t="s">
        <v>21</v>
      </c>
      <c r="D10" s="4" t="s">
        <v>22</v>
      </c>
      <c r="E10" s="5">
        <v>8.0</v>
      </c>
      <c r="F10" s="6">
        <v>300.0</v>
      </c>
      <c r="G10" s="5">
        <v>3.63629116E8</v>
      </c>
      <c r="H10" s="5">
        <v>3.64629105E8</v>
      </c>
      <c r="I10" s="5">
        <v>3.64630976E8</v>
      </c>
      <c r="J10" s="5">
        <v>226.5</v>
      </c>
      <c r="K10" s="4">
        <v>81.0</v>
      </c>
      <c r="L10" s="5">
        <f t="shared" si="2"/>
        <v>307.5</v>
      </c>
      <c r="M10" s="5">
        <f t="shared" ref="M10:N10" si="17">H10 - G10</f>
        <v>999989</v>
      </c>
      <c r="N10" s="5">
        <f t="shared" si="17"/>
        <v>1871</v>
      </c>
      <c r="O10" s="5">
        <f t="shared" si="4"/>
        <v>0.0003000033</v>
      </c>
      <c r="P10" s="5">
        <f t="shared" si="5"/>
        <v>0.5613061744</v>
      </c>
      <c r="Q10" s="5">
        <f t="shared" si="6"/>
        <v>306.9386938</v>
      </c>
      <c r="S10" s="5">
        <f t="shared" si="7"/>
        <v>998118</v>
      </c>
      <c r="U10" s="5">
        <f t="shared" si="8"/>
        <v>8100356410</v>
      </c>
      <c r="V10" s="5">
        <f t="shared" si="9"/>
        <v>90001.98003</v>
      </c>
      <c r="W10" s="5">
        <f t="shared" si="10"/>
        <v>27625090.19</v>
      </c>
    </row>
    <row r="11" ht="12.75" customHeight="1">
      <c r="A11" s="4" t="s">
        <v>20</v>
      </c>
      <c r="B11" s="5">
        <v>15.0</v>
      </c>
      <c r="C11" s="4" t="s">
        <v>21</v>
      </c>
      <c r="D11" s="4" t="s">
        <v>22</v>
      </c>
      <c r="E11" s="5">
        <v>8.0</v>
      </c>
      <c r="F11" s="6">
        <v>300.0</v>
      </c>
      <c r="G11" s="5">
        <v>4.6172416E7</v>
      </c>
      <c r="H11" s="5">
        <v>4.7172543E7</v>
      </c>
      <c r="I11" s="5">
        <v>4.7174412E7</v>
      </c>
      <c r="J11" s="5">
        <v>349.0</v>
      </c>
      <c r="K11" s="4">
        <v>-31.0</v>
      </c>
      <c r="L11" s="5">
        <f t="shared" si="2"/>
        <v>318</v>
      </c>
      <c r="M11" s="5">
        <f t="shared" ref="M11:N11" si="18">H11 - G11</f>
        <v>1000127</v>
      </c>
      <c r="N11" s="5">
        <f t="shared" si="18"/>
        <v>1869</v>
      </c>
      <c r="O11" s="5">
        <f t="shared" si="4"/>
        <v>0.0002999619048</v>
      </c>
      <c r="P11" s="5">
        <f t="shared" si="5"/>
        <v>0.5606288001</v>
      </c>
      <c r="Q11" s="5">
        <f t="shared" si="6"/>
        <v>317.4393712</v>
      </c>
      <c r="S11" s="5">
        <f t="shared" si="7"/>
        <v>998258</v>
      </c>
      <c r="U11" s="5">
        <f t="shared" si="8"/>
        <v>8095886506</v>
      </c>
      <c r="V11" s="5">
        <f t="shared" si="9"/>
        <v>89977.14435</v>
      </c>
      <c r="W11" s="5">
        <f t="shared" si="10"/>
        <v>28562288.13</v>
      </c>
    </row>
    <row r="12" ht="12.75" customHeight="1">
      <c r="A12" s="4" t="s">
        <v>20</v>
      </c>
      <c r="B12" s="5">
        <v>15.0</v>
      </c>
      <c r="C12" s="4" t="s">
        <v>21</v>
      </c>
      <c r="D12" s="4" t="s">
        <v>22</v>
      </c>
      <c r="E12" s="5">
        <v>8.0</v>
      </c>
      <c r="F12" s="6">
        <v>300.0</v>
      </c>
      <c r="G12" s="5">
        <v>1.51281565E8</v>
      </c>
      <c r="H12" s="5">
        <v>1.52281647E8</v>
      </c>
      <c r="I12" s="5">
        <v>1.52283548E8</v>
      </c>
      <c r="J12" s="5">
        <v>338.0</v>
      </c>
      <c r="K12" s="4">
        <v>-31.0</v>
      </c>
      <c r="L12" s="5">
        <f t="shared" si="2"/>
        <v>307</v>
      </c>
      <c r="M12" s="5">
        <f t="shared" ref="M12:N12" si="19">H12 - G12</f>
        <v>1000082</v>
      </c>
      <c r="N12" s="5">
        <f t="shared" si="19"/>
        <v>1901</v>
      </c>
      <c r="O12" s="5">
        <f t="shared" si="4"/>
        <v>0.000299975402</v>
      </c>
      <c r="P12" s="5">
        <f t="shared" si="5"/>
        <v>0.5702532392</v>
      </c>
      <c r="Q12" s="5">
        <f t="shared" si="6"/>
        <v>306.4297468</v>
      </c>
      <c r="S12" s="5">
        <f t="shared" si="7"/>
        <v>998181</v>
      </c>
      <c r="U12" s="5">
        <f t="shared" si="8"/>
        <v>8097343745</v>
      </c>
      <c r="V12" s="5">
        <f t="shared" si="9"/>
        <v>89985.24182</v>
      </c>
      <c r="W12" s="5">
        <f t="shared" si="10"/>
        <v>27574154.86</v>
      </c>
    </row>
    <row r="13" ht="12.75" customHeight="1">
      <c r="A13" s="4" t="s">
        <v>20</v>
      </c>
      <c r="B13" s="5">
        <v>15.0</v>
      </c>
      <c r="C13" s="4" t="s">
        <v>21</v>
      </c>
      <c r="D13" s="4" t="s">
        <v>22</v>
      </c>
      <c r="E13" s="5">
        <v>8.0</v>
      </c>
      <c r="F13" s="6">
        <v>300.0</v>
      </c>
      <c r="G13" s="5">
        <v>2.21987744E8</v>
      </c>
      <c r="H13" s="5">
        <v>2.22987923E8</v>
      </c>
      <c r="I13" s="5">
        <v>2.22989767E8</v>
      </c>
      <c r="J13" s="5">
        <v>353.5</v>
      </c>
      <c r="K13" s="4">
        <v>-31.0</v>
      </c>
      <c r="L13" s="5">
        <f t="shared" si="2"/>
        <v>322.5</v>
      </c>
      <c r="M13" s="5">
        <f t="shared" ref="M13:N13" si="20">H13 - G13</f>
        <v>1000179</v>
      </c>
      <c r="N13" s="5">
        <f t="shared" si="20"/>
        <v>1844</v>
      </c>
      <c r="O13" s="5">
        <f t="shared" si="4"/>
        <v>0.0002999463096</v>
      </c>
      <c r="P13" s="5">
        <f t="shared" si="5"/>
        <v>0.5531009949</v>
      </c>
      <c r="Q13" s="5">
        <f t="shared" si="6"/>
        <v>321.946899</v>
      </c>
      <c r="S13" s="5">
        <f t="shared" si="7"/>
        <v>998335</v>
      </c>
      <c r="U13" s="5">
        <f t="shared" si="8"/>
        <v>8094202994</v>
      </c>
      <c r="V13" s="5">
        <f t="shared" si="9"/>
        <v>89967.78865</v>
      </c>
      <c r="W13" s="5">
        <f t="shared" si="10"/>
        <v>28964850.57</v>
      </c>
    </row>
    <row r="14" ht="12.75" customHeight="1">
      <c r="A14" s="4" t="s">
        <v>20</v>
      </c>
      <c r="B14" s="5">
        <v>15.0</v>
      </c>
      <c r="C14" s="4" t="s">
        <v>21</v>
      </c>
      <c r="D14" s="4" t="s">
        <v>22</v>
      </c>
      <c r="E14" s="5">
        <v>8.0</v>
      </c>
      <c r="F14" s="6">
        <v>300.0</v>
      </c>
      <c r="G14" s="5">
        <v>2.8899349E8</v>
      </c>
      <c r="H14" s="5">
        <v>2.89993624E8</v>
      </c>
      <c r="I14" s="5">
        <v>2.89995468E8</v>
      </c>
      <c r="J14" s="5">
        <v>338.0</v>
      </c>
      <c r="K14" s="4">
        <v>-31.0</v>
      </c>
      <c r="L14" s="5">
        <f t="shared" si="2"/>
        <v>307</v>
      </c>
      <c r="M14" s="5">
        <f t="shared" ref="M14:N14" si="21">H14 - G14</f>
        <v>1000134</v>
      </c>
      <c r="N14" s="5">
        <f t="shared" si="21"/>
        <v>1844</v>
      </c>
      <c r="O14" s="5">
        <f t="shared" si="4"/>
        <v>0.0002999598054</v>
      </c>
      <c r="P14" s="5">
        <f t="shared" si="5"/>
        <v>0.5531258811</v>
      </c>
      <c r="Q14" s="5">
        <f t="shared" si="6"/>
        <v>306.4468741</v>
      </c>
      <c r="S14" s="5">
        <f t="shared" si="7"/>
        <v>998290</v>
      </c>
      <c r="U14" s="5">
        <f t="shared" si="8"/>
        <v>8095659854</v>
      </c>
      <c r="V14" s="5">
        <f t="shared" si="9"/>
        <v>89975.88485</v>
      </c>
      <c r="W14" s="5">
        <f t="shared" si="10"/>
        <v>27572828.66</v>
      </c>
    </row>
    <row r="15" ht="12.75" customHeight="1">
      <c r="A15" s="4" t="s">
        <v>20</v>
      </c>
      <c r="B15" s="5">
        <v>15.0</v>
      </c>
      <c r="C15" s="4" t="s">
        <v>21</v>
      </c>
      <c r="D15" s="4" t="s">
        <v>22</v>
      </c>
      <c r="E15" s="5">
        <v>8.0</v>
      </c>
      <c r="F15" s="6">
        <v>300.0</v>
      </c>
      <c r="G15" s="5">
        <v>3.5419908E8</v>
      </c>
      <c r="H15" s="5">
        <v>3.55199246E8</v>
      </c>
      <c r="I15" s="5">
        <v>3.55201085E8</v>
      </c>
      <c r="J15" s="5">
        <v>338.0</v>
      </c>
      <c r="K15" s="4">
        <v>-31.0</v>
      </c>
      <c r="L15" s="5">
        <f t="shared" si="2"/>
        <v>307</v>
      </c>
      <c r="M15" s="5">
        <f t="shared" ref="M15:N15" si="22">H15 - G15</f>
        <v>1000166</v>
      </c>
      <c r="N15" s="5">
        <f t="shared" si="22"/>
        <v>1839</v>
      </c>
      <c r="O15" s="5">
        <f t="shared" si="4"/>
        <v>0.0002999502083</v>
      </c>
      <c r="P15" s="5">
        <f t="shared" si="5"/>
        <v>0.551608433</v>
      </c>
      <c r="Q15" s="5">
        <f t="shared" si="6"/>
        <v>306.4483916</v>
      </c>
      <c r="S15" s="5">
        <f t="shared" si="7"/>
        <v>998327</v>
      </c>
      <c r="U15" s="5">
        <f t="shared" si="8"/>
        <v>8094623831</v>
      </c>
      <c r="V15" s="5">
        <f t="shared" si="9"/>
        <v>89970.12744</v>
      </c>
      <c r="W15" s="5">
        <f t="shared" si="10"/>
        <v>27571200.84</v>
      </c>
    </row>
    <row r="16" ht="12.75" customHeight="1">
      <c r="A16" s="4" t="s">
        <v>20</v>
      </c>
      <c r="B16" s="5">
        <v>14.0</v>
      </c>
      <c r="C16" s="4" t="s">
        <v>21</v>
      </c>
      <c r="D16" s="4" t="s">
        <v>22</v>
      </c>
      <c r="E16" s="5">
        <v>8.0</v>
      </c>
      <c r="F16" s="6">
        <v>300.0</v>
      </c>
      <c r="G16" s="5">
        <v>4.8733874E7</v>
      </c>
      <c r="H16" s="5">
        <v>4.9733883E7</v>
      </c>
      <c r="I16" s="5">
        <v>4.9735806E7</v>
      </c>
      <c r="J16" s="5">
        <v>338.0</v>
      </c>
      <c r="K16" s="4">
        <v>-31.0</v>
      </c>
      <c r="L16" s="5">
        <f t="shared" si="2"/>
        <v>307</v>
      </c>
      <c r="M16" s="5">
        <f t="shared" ref="M16:N16" si="23">H16 - G16</f>
        <v>1000009</v>
      </c>
      <c r="N16" s="5">
        <f t="shared" si="23"/>
        <v>1923</v>
      </c>
      <c r="O16" s="5">
        <f t="shared" si="4"/>
        <v>0.0002999973</v>
      </c>
      <c r="P16" s="5">
        <f t="shared" si="5"/>
        <v>0.5768948079</v>
      </c>
      <c r="Q16" s="5">
        <f t="shared" si="6"/>
        <v>306.4231052</v>
      </c>
      <c r="S16" s="5">
        <f t="shared" si="7"/>
        <v>998086</v>
      </c>
      <c r="U16" s="5">
        <f t="shared" si="8"/>
        <v>8099708407</v>
      </c>
      <c r="V16" s="5">
        <f t="shared" si="9"/>
        <v>89998.38002</v>
      </c>
      <c r="W16" s="5">
        <f t="shared" si="10"/>
        <v>27577583.07</v>
      </c>
    </row>
    <row r="17" ht="12.75" customHeight="1">
      <c r="A17" s="4" t="s">
        <v>20</v>
      </c>
      <c r="B17" s="5">
        <v>14.0</v>
      </c>
      <c r="C17" s="4" t="s">
        <v>21</v>
      </c>
      <c r="D17" s="4" t="s">
        <v>22</v>
      </c>
      <c r="E17" s="5">
        <v>8.0</v>
      </c>
      <c r="F17" s="6">
        <v>300.0</v>
      </c>
      <c r="G17" s="5">
        <v>1.12439452E8</v>
      </c>
      <c r="H17" s="5">
        <v>1.1343961E8</v>
      </c>
      <c r="I17" s="5">
        <v>1.13441584E8</v>
      </c>
      <c r="J17" s="5">
        <v>338.0</v>
      </c>
      <c r="K17" s="4">
        <v>-31.0</v>
      </c>
      <c r="L17" s="5">
        <f t="shared" si="2"/>
        <v>307</v>
      </c>
      <c r="M17" s="5">
        <f t="shared" ref="M17:N17" si="24">H17 - G17</f>
        <v>1000158</v>
      </c>
      <c r="N17" s="5">
        <f t="shared" si="24"/>
        <v>1974</v>
      </c>
      <c r="O17" s="5">
        <f t="shared" si="4"/>
        <v>0.0002999526075</v>
      </c>
      <c r="P17" s="5">
        <f t="shared" si="5"/>
        <v>0.5921064472</v>
      </c>
      <c r="Q17" s="5">
        <f t="shared" si="6"/>
        <v>306.4078936</v>
      </c>
      <c r="S17" s="5">
        <f t="shared" si="7"/>
        <v>998184</v>
      </c>
      <c r="U17" s="5">
        <f t="shared" si="8"/>
        <v>8094882821</v>
      </c>
      <c r="V17" s="5">
        <f t="shared" si="9"/>
        <v>89971.56674</v>
      </c>
      <c r="W17" s="5">
        <f t="shared" si="10"/>
        <v>27567998.24</v>
      </c>
    </row>
    <row r="18" ht="12.75" customHeight="1">
      <c r="A18" s="4" t="s">
        <v>20</v>
      </c>
      <c r="B18" s="5">
        <v>14.0</v>
      </c>
      <c r="C18" s="4" t="s">
        <v>21</v>
      </c>
      <c r="D18" s="4" t="s">
        <v>22</v>
      </c>
      <c r="E18" s="5">
        <v>8.0</v>
      </c>
      <c r="F18" s="6">
        <v>300.0</v>
      </c>
      <c r="G18" s="5">
        <v>1.75745056E8</v>
      </c>
      <c r="H18" s="5">
        <v>1.76745164E8</v>
      </c>
      <c r="I18" s="5">
        <v>1.76747041E8</v>
      </c>
      <c r="J18" s="5">
        <v>343.0</v>
      </c>
      <c r="K18" s="4">
        <v>-31.0</v>
      </c>
      <c r="L18" s="5">
        <f t="shared" si="2"/>
        <v>312</v>
      </c>
      <c r="M18" s="5">
        <f t="shared" ref="M18:N18" si="25">H18 - G18</f>
        <v>1000108</v>
      </c>
      <c r="N18" s="5">
        <f t="shared" si="25"/>
        <v>1877</v>
      </c>
      <c r="O18" s="5">
        <f t="shared" si="4"/>
        <v>0.0002999676035</v>
      </c>
      <c r="P18" s="5">
        <f t="shared" si="5"/>
        <v>0.5630391918</v>
      </c>
      <c r="Q18" s="5">
        <f t="shared" si="6"/>
        <v>311.4369608</v>
      </c>
      <c r="S18" s="5">
        <f t="shared" si="7"/>
        <v>998231</v>
      </c>
      <c r="U18" s="5">
        <f t="shared" si="8"/>
        <v>8096501745</v>
      </c>
      <c r="V18" s="5">
        <f t="shared" si="9"/>
        <v>89980.56315</v>
      </c>
      <c r="W18" s="5">
        <f t="shared" si="10"/>
        <v>28023273.12</v>
      </c>
    </row>
    <row r="19" ht="12.75" customHeight="1">
      <c r="A19" s="4" t="s">
        <v>20</v>
      </c>
      <c r="B19" s="5">
        <v>14.0</v>
      </c>
      <c r="C19" s="4" t="s">
        <v>21</v>
      </c>
      <c r="D19" s="4" t="s">
        <v>22</v>
      </c>
      <c r="E19" s="5">
        <v>8.0</v>
      </c>
      <c r="F19" s="6">
        <v>300.0</v>
      </c>
      <c r="G19" s="5">
        <v>2.46651155E8</v>
      </c>
      <c r="H19" s="5">
        <v>2.4765129E8</v>
      </c>
      <c r="I19" s="5">
        <v>2.47653123E8</v>
      </c>
      <c r="J19" s="5">
        <v>344.0</v>
      </c>
      <c r="K19" s="4">
        <v>-31.0</v>
      </c>
      <c r="L19" s="5">
        <f t="shared" si="2"/>
        <v>313</v>
      </c>
      <c r="M19" s="5">
        <f t="shared" ref="M19:N19" si="26">H19 - G19</f>
        <v>1000135</v>
      </c>
      <c r="N19" s="5">
        <f t="shared" si="26"/>
        <v>1833</v>
      </c>
      <c r="O19" s="5">
        <f t="shared" si="4"/>
        <v>0.0002999595055</v>
      </c>
      <c r="P19" s="5">
        <f t="shared" si="5"/>
        <v>0.5498257735</v>
      </c>
      <c r="Q19" s="5">
        <f t="shared" si="6"/>
        <v>312.4501742</v>
      </c>
      <c r="S19" s="5">
        <f t="shared" si="7"/>
        <v>998302</v>
      </c>
      <c r="U19" s="5">
        <f t="shared" si="8"/>
        <v>8095627476</v>
      </c>
      <c r="V19" s="5">
        <f t="shared" si="9"/>
        <v>89975.70492</v>
      </c>
      <c r="W19" s="5">
        <f t="shared" si="10"/>
        <v>28112924.68</v>
      </c>
    </row>
    <row r="20" ht="12.75" customHeight="1">
      <c r="A20" s="4" t="s">
        <v>20</v>
      </c>
      <c r="B20" s="5">
        <v>14.0</v>
      </c>
      <c r="C20" s="4" t="s">
        <v>21</v>
      </c>
      <c r="D20" s="4" t="s">
        <v>22</v>
      </c>
      <c r="E20" s="5">
        <v>8.0</v>
      </c>
      <c r="F20" s="6">
        <v>300.0</v>
      </c>
      <c r="G20" s="5">
        <v>3.07756453E8</v>
      </c>
      <c r="H20" s="5">
        <v>3.08756554E8</v>
      </c>
      <c r="I20" s="5">
        <v>3.08758367E8</v>
      </c>
      <c r="J20" s="5">
        <v>344.0</v>
      </c>
      <c r="K20" s="4">
        <v>-31.0</v>
      </c>
      <c r="L20" s="5">
        <f t="shared" si="2"/>
        <v>313</v>
      </c>
      <c r="M20" s="5">
        <f t="shared" ref="M20:N20" si="27">H20 - G20</f>
        <v>1000101</v>
      </c>
      <c r="N20" s="5">
        <f t="shared" si="27"/>
        <v>1813</v>
      </c>
      <c r="O20" s="5">
        <f t="shared" si="4"/>
        <v>0.0002999697031</v>
      </c>
      <c r="P20" s="5">
        <f t="shared" si="5"/>
        <v>0.5438450716</v>
      </c>
      <c r="Q20" s="5">
        <f t="shared" si="6"/>
        <v>312.4561549</v>
      </c>
      <c r="S20" s="5">
        <f t="shared" si="7"/>
        <v>998288</v>
      </c>
      <c r="U20" s="5">
        <f t="shared" si="8"/>
        <v>8096728426</v>
      </c>
      <c r="V20" s="5">
        <f t="shared" si="9"/>
        <v>89981.82275</v>
      </c>
      <c r="W20" s="5">
        <f t="shared" si="10"/>
        <v>28115374.35</v>
      </c>
    </row>
    <row r="21" ht="12.75" customHeight="1">
      <c r="A21" s="4" t="s">
        <v>20</v>
      </c>
      <c r="B21" s="5">
        <v>13.0</v>
      </c>
      <c r="C21" s="4" t="s">
        <v>21</v>
      </c>
      <c r="D21" s="4" t="s">
        <v>22</v>
      </c>
      <c r="E21" s="5">
        <v>8.0</v>
      </c>
      <c r="F21" s="6">
        <v>300.0</v>
      </c>
      <c r="G21" s="5">
        <v>4.4961648E7</v>
      </c>
      <c r="H21" s="5">
        <v>4.606185E7</v>
      </c>
      <c r="I21" s="5">
        <v>4.6063739E7</v>
      </c>
      <c r="J21" s="5">
        <v>226.5</v>
      </c>
      <c r="K21" s="4">
        <v>81.0</v>
      </c>
      <c r="L21" s="5">
        <f t="shared" si="2"/>
        <v>307.5</v>
      </c>
      <c r="M21" s="5">
        <f t="shared" ref="M21:N21" si="28">H21 - G21</f>
        <v>1100202</v>
      </c>
      <c r="N21" s="5">
        <f t="shared" si="28"/>
        <v>1889</v>
      </c>
      <c r="O21" s="5">
        <f t="shared" si="4"/>
        <v>0.0002726771993</v>
      </c>
      <c r="P21" s="5">
        <f t="shared" si="5"/>
        <v>0.5150872294</v>
      </c>
      <c r="Q21" s="5">
        <f t="shared" si="6"/>
        <v>306.9849128</v>
      </c>
      <c r="S21" s="5">
        <f t="shared" si="7"/>
        <v>1098313</v>
      </c>
      <c r="U21" s="5">
        <f t="shared" si="8"/>
        <v>5528347048</v>
      </c>
      <c r="V21" s="5">
        <f t="shared" si="9"/>
        <v>74352.85501</v>
      </c>
      <c r="W21" s="5">
        <f t="shared" si="10"/>
        <v>22825204.71</v>
      </c>
    </row>
    <row r="22" ht="12.75" customHeight="1">
      <c r="A22" s="4" t="s">
        <v>20</v>
      </c>
      <c r="B22" s="5">
        <v>13.0</v>
      </c>
      <c r="C22" s="4" t="s">
        <v>21</v>
      </c>
      <c r="D22" s="4" t="s">
        <v>22</v>
      </c>
      <c r="E22" s="5">
        <v>8.0</v>
      </c>
      <c r="F22" s="6">
        <v>300.0</v>
      </c>
      <c r="G22" s="5">
        <v>1.25068705E8</v>
      </c>
      <c r="H22" s="5">
        <v>1.26168888E8</v>
      </c>
      <c r="I22" s="5">
        <v>1.26170697E8</v>
      </c>
      <c r="J22" s="5">
        <v>223.5</v>
      </c>
      <c r="K22" s="4">
        <v>81.0</v>
      </c>
      <c r="L22" s="5">
        <f t="shared" si="2"/>
        <v>304.5</v>
      </c>
      <c r="M22" s="5">
        <f t="shared" ref="M22:N22" si="29">H22 - G22</f>
        <v>1100183</v>
      </c>
      <c r="N22" s="5">
        <f t="shared" si="29"/>
        <v>1809</v>
      </c>
      <c r="O22" s="5">
        <f t="shared" si="4"/>
        <v>0.0002726819084</v>
      </c>
      <c r="P22" s="5">
        <f t="shared" si="5"/>
        <v>0.4932815722</v>
      </c>
      <c r="Q22" s="5">
        <f t="shared" si="6"/>
        <v>304.0067184</v>
      </c>
      <c r="S22" s="5">
        <f t="shared" si="7"/>
        <v>1098374</v>
      </c>
      <c r="U22" s="5">
        <f t="shared" si="8"/>
        <v>5528728952</v>
      </c>
      <c r="V22" s="5">
        <f t="shared" si="9"/>
        <v>74355.42315</v>
      </c>
      <c r="W22" s="5">
        <f t="shared" si="10"/>
        <v>22604548.19</v>
      </c>
    </row>
    <row r="23" ht="12.75" customHeight="1">
      <c r="A23" s="4" t="s">
        <v>20</v>
      </c>
      <c r="B23" s="5">
        <v>13.0</v>
      </c>
      <c r="C23" s="4" t="s">
        <v>21</v>
      </c>
      <c r="D23" s="4" t="s">
        <v>22</v>
      </c>
      <c r="E23" s="5">
        <v>8.0</v>
      </c>
      <c r="F23" s="6">
        <v>300.0</v>
      </c>
      <c r="G23" s="5">
        <v>1.92174606E8</v>
      </c>
      <c r="H23" s="5">
        <v>1.93174764E8</v>
      </c>
      <c r="I23" s="5">
        <v>1.93176631E8</v>
      </c>
      <c r="J23" s="5">
        <v>215.5</v>
      </c>
      <c r="K23" s="4">
        <v>81.0</v>
      </c>
      <c r="L23" s="5">
        <f t="shared" si="2"/>
        <v>296.5</v>
      </c>
      <c r="M23" s="5">
        <f t="shared" ref="M23:N23" si="30">H23 - G23</f>
        <v>1000158</v>
      </c>
      <c r="N23" s="5">
        <f t="shared" si="30"/>
        <v>1867</v>
      </c>
      <c r="O23" s="5">
        <f t="shared" si="4"/>
        <v>0.0002999526075</v>
      </c>
      <c r="P23" s="5">
        <f t="shared" si="5"/>
        <v>0.5600115182</v>
      </c>
      <c r="Q23" s="5">
        <f t="shared" si="6"/>
        <v>295.9399885</v>
      </c>
      <c r="S23" s="5">
        <f t="shared" si="7"/>
        <v>998291</v>
      </c>
      <c r="U23" s="5">
        <f t="shared" si="8"/>
        <v>8094882821</v>
      </c>
      <c r="V23" s="5">
        <f t="shared" si="9"/>
        <v>89971.56674</v>
      </c>
      <c r="W23" s="5">
        <f t="shared" si="10"/>
        <v>26626184.42</v>
      </c>
    </row>
    <row r="24" ht="12.75" customHeight="1">
      <c r="A24" s="4" t="s">
        <v>20</v>
      </c>
      <c r="B24" s="5">
        <v>13.0</v>
      </c>
      <c r="C24" s="4" t="s">
        <v>21</v>
      </c>
      <c r="D24" s="4" t="s">
        <v>22</v>
      </c>
      <c r="E24" s="5">
        <v>8.0</v>
      </c>
      <c r="F24" s="6">
        <v>300.0</v>
      </c>
      <c r="G24" s="5">
        <v>2.57080221E8</v>
      </c>
      <c r="H24" s="5">
        <v>2.58180354E8</v>
      </c>
      <c r="I24" s="5">
        <v>2.58182221E8</v>
      </c>
      <c r="J24" s="5">
        <v>226.0</v>
      </c>
      <c r="K24" s="4">
        <v>81.0</v>
      </c>
      <c r="L24" s="5">
        <f t="shared" si="2"/>
        <v>307</v>
      </c>
      <c r="M24" s="5">
        <f t="shared" ref="M24:N24" si="31">H24 - G24</f>
        <v>1100133</v>
      </c>
      <c r="N24" s="5">
        <f t="shared" si="31"/>
        <v>1867</v>
      </c>
      <c r="O24" s="5">
        <f t="shared" si="4"/>
        <v>0.0002726943015</v>
      </c>
      <c r="P24" s="5">
        <f t="shared" si="5"/>
        <v>0.5091202609</v>
      </c>
      <c r="Q24" s="5">
        <f t="shared" si="6"/>
        <v>306.4908797</v>
      </c>
      <c r="S24" s="5">
        <f t="shared" si="7"/>
        <v>1098266</v>
      </c>
      <c r="U24" s="5">
        <f t="shared" si="8"/>
        <v>5529734123</v>
      </c>
      <c r="V24" s="5">
        <f t="shared" si="9"/>
        <v>74362.18207</v>
      </c>
      <c r="W24" s="5">
        <f t="shared" si="10"/>
        <v>22791330.6</v>
      </c>
    </row>
    <row r="25" ht="12.75" customHeight="1">
      <c r="A25" s="4" t="s">
        <v>20</v>
      </c>
      <c r="B25" s="5">
        <v>13.0</v>
      </c>
      <c r="C25" s="4" t="s">
        <v>21</v>
      </c>
      <c r="D25" s="4" t="s">
        <v>22</v>
      </c>
      <c r="E25" s="5">
        <v>8.0</v>
      </c>
      <c r="F25" s="6">
        <v>300.0</v>
      </c>
      <c r="G25" s="5">
        <v>3.50988313E8</v>
      </c>
      <c r="H25" s="5">
        <v>3.51988397E8</v>
      </c>
      <c r="I25" s="5">
        <v>3.51990214E8</v>
      </c>
      <c r="J25" s="5">
        <v>218.5</v>
      </c>
      <c r="K25" s="4">
        <v>81.0</v>
      </c>
      <c r="L25" s="5">
        <f t="shared" si="2"/>
        <v>299.5</v>
      </c>
      <c r="M25" s="5">
        <f t="shared" ref="M25:N25" si="32">H25 - G25</f>
        <v>1000084</v>
      </c>
      <c r="N25" s="5">
        <f t="shared" si="32"/>
        <v>1817</v>
      </c>
      <c r="O25" s="5">
        <f t="shared" si="4"/>
        <v>0.0002999748021</v>
      </c>
      <c r="P25" s="5">
        <f t="shared" si="5"/>
        <v>0.5450542154</v>
      </c>
      <c r="Q25" s="5">
        <f t="shared" si="6"/>
        <v>298.9549458</v>
      </c>
      <c r="S25" s="5">
        <f t="shared" si="7"/>
        <v>998267</v>
      </c>
      <c r="U25" s="5">
        <f t="shared" si="8"/>
        <v>8097278971</v>
      </c>
      <c r="V25" s="5">
        <f t="shared" si="9"/>
        <v>89984.8819</v>
      </c>
      <c r="W25" s="5">
        <f t="shared" si="10"/>
        <v>26901425.49</v>
      </c>
    </row>
    <row r="26" ht="12.75" customHeight="1">
      <c r="A26" s="7" t="s">
        <v>23</v>
      </c>
      <c r="B26" s="8">
        <v>17.0</v>
      </c>
      <c r="C26" s="4" t="s">
        <v>21</v>
      </c>
      <c r="D26" s="4" t="s">
        <v>22</v>
      </c>
      <c r="E26" s="8">
        <v>8.0</v>
      </c>
      <c r="F26" s="6">
        <v>300.0</v>
      </c>
      <c r="G26" s="8">
        <v>6.2836318E7</v>
      </c>
      <c r="H26" s="8">
        <v>6.3736353E7</v>
      </c>
      <c r="I26" s="8">
        <v>6.3738224E7</v>
      </c>
      <c r="J26" s="8">
        <v>213.5</v>
      </c>
      <c r="K26" s="4">
        <v>81.0</v>
      </c>
      <c r="L26" s="5">
        <f t="shared" si="2"/>
        <v>294.5</v>
      </c>
      <c r="M26" s="5">
        <f t="shared" ref="M26:N26" si="33">H26 - G26</f>
        <v>900035</v>
      </c>
      <c r="N26" s="5">
        <f t="shared" si="33"/>
        <v>1871</v>
      </c>
      <c r="O26" s="5">
        <f t="shared" si="4"/>
        <v>0.0003333203709</v>
      </c>
      <c r="P26" s="5">
        <f t="shared" si="5"/>
        <v>0.6236424139</v>
      </c>
      <c r="Q26" s="5">
        <f t="shared" si="6"/>
        <v>293.8763576</v>
      </c>
      <c r="S26" s="5">
        <f t="shared" si="7"/>
        <v>898164</v>
      </c>
      <c r="U26" s="5">
        <f t="shared" si="8"/>
        <v>12343758760</v>
      </c>
      <c r="V26" s="5">
        <f t="shared" si="9"/>
        <v>111102.4696</v>
      </c>
      <c r="W26" s="5">
        <f t="shared" si="10"/>
        <v>32650389.1</v>
      </c>
    </row>
    <row r="27" ht="12.75" customHeight="1">
      <c r="A27" s="7" t="s">
        <v>23</v>
      </c>
      <c r="B27" s="8">
        <v>17.0</v>
      </c>
      <c r="C27" s="4" t="s">
        <v>21</v>
      </c>
      <c r="D27" s="4" t="s">
        <v>22</v>
      </c>
      <c r="E27" s="8">
        <v>8.0</v>
      </c>
      <c r="F27" s="6">
        <v>300.0</v>
      </c>
      <c r="G27" s="8">
        <v>3.78963685E8</v>
      </c>
      <c r="H27" s="8">
        <v>3.79963756E8</v>
      </c>
      <c r="I27" s="8">
        <v>3.79965604E8</v>
      </c>
      <c r="J27" s="8">
        <v>216.0</v>
      </c>
      <c r="K27" s="4">
        <v>81.0</v>
      </c>
      <c r="L27" s="5">
        <f t="shared" si="2"/>
        <v>297</v>
      </c>
      <c r="M27" s="5">
        <f t="shared" ref="M27:N27" si="34">H27 - G27</f>
        <v>1000071</v>
      </c>
      <c r="N27" s="5">
        <f t="shared" si="34"/>
        <v>1848</v>
      </c>
      <c r="O27" s="5">
        <f t="shared" si="4"/>
        <v>0.0002999787015</v>
      </c>
      <c r="P27" s="5">
        <f t="shared" si="5"/>
        <v>0.5543606404</v>
      </c>
      <c r="Q27" s="5">
        <f t="shared" si="6"/>
        <v>296.4456394</v>
      </c>
      <c r="S27" s="5">
        <f t="shared" si="7"/>
        <v>998223</v>
      </c>
      <c r="U27" s="5">
        <f t="shared" si="8"/>
        <v>8097700008</v>
      </c>
      <c r="V27" s="5">
        <f t="shared" si="9"/>
        <v>89987.22136</v>
      </c>
      <c r="W27" s="5">
        <f t="shared" si="10"/>
        <v>26676319.37</v>
      </c>
    </row>
    <row r="28" ht="12.75" customHeight="1">
      <c r="A28" s="7" t="s">
        <v>23</v>
      </c>
      <c r="B28" s="8">
        <v>17.0</v>
      </c>
      <c r="C28" s="4" t="s">
        <v>21</v>
      </c>
      <c r="D28" s="4" t="s">
        <v>22</v>
      </c>
      <c r="E28" s="8">
        <v>8.0</v>
      </c>
      <c r="F28" s="6">
        <v>300.0</v>
      </c>
      <c r="G28" s="8">
        <v>4.2806792E8</v>
      </c>
      <c r="H28" s="8">
        <v>4.28968089E8</v>
      </c>
      <c r="I28" s="8">
        <v>4.28969921E8</v>
      </c>
      <c r="J28" s="8">
        <v>216.0</v>
      </c>
      <c r="K28" s="4">
        <v>81.0</v>
      </c>
      <c r="L28" s="5">
        <f t="shared" si="2"/>
        <v>297</v>
      </c>
      <c r="M28" s="5">
        <f t="shared" ref="M28:N28" si="35">H28 - G28</f>
        <v>900169</v>
      </c>
      <c r="N28" s="5">
        <f t="shared" si="35"/>
        <v>1832</v>
      </c>
      <c r="O28" s="5">
        <f t="shared" si="4"/>
        <v>0.0003332707525</v>
      </c>
      <c r="P28" s="5">
        <f t="shared" si="5"/>
        <v>0.6105520186</v>
      </c>
      <c r="Q28" s="5">
        <f t="shared" si="6"/>
        <v>296.389448</v>
      </c>
      <c r="S28" s="5">
        <f t="shared" si="7"/>
        <v>898337</v>
      </c>
      <c r="U28" s="5">
        <f t="shared" si="8"/>
        <v>12336410387</v>
      </c>
      <c r="V28" s="5">
        <f t="shared" si="9"/>
        <v>111069.3945</v>
      </c>
      <c r="W28" s="5">
        <f t="shared" si="10"/>
        <v>32919796.51</v>
      </c>
    </row>
    <row r="29" ht="12.75" customHeight="1">
      <c r="A29" s="7" t="s">
        <v>23</v>
      </c>
      <c r="B29" s="8">
        <v>17.0</v>
      </c>
      <c r="C29" s="4" t="s">
        <v>21</v>
      </c>
      <c r="D29" s="4" t="s">
        <v>22</v>
      </c>
      <c r="E29" s="8">
        <v>8.0</v>
      </c>
      <c r="F29" s="6">
        <v>300.0</v>
      </c>
      <c r="G29" s="8">
        <v>4.82272637E8</v>
      </c>
      <c r="H29" s="8">
        <v>4.8327283E8</v>
      </c>
      <c r="I29" s="8">
        <v>4.83274718E8</v>
      </c>
      <c r="J29" s="8">
        <v>232.5</v>
      </c>
      <c r="K29" s="4">
        <v>81.0</v>
      </c>
      <c r="L29" s="5">
        <f t="shared" si="2"/>
        <v>313.5</v>
      </c>
      <c r="M29" s="5">
        <f t="shared" ref="M29:N29" si="36">H29 - G29</f>
        <v>1000193</v>
      </c>
      <c r="N29" s="5">
        <f t="shared" si="36"/>
        <v>1888</v>
      </c>
      <c r="O29" s="5">
        <f t="shared" si="4"/>
        <v>0.0002999421112</v>
      </c>
      <c r="P29" s="5">
        <f t="shared" si="5"/>
        <v>0.5662907059</v>
      </c>
      <c r="Q29" s="5">
        <f t="shared" si="6"/>
        <v>312.9337093</v>
      </c>
      <c r="S29" s="5">
        <f t="shared" si="7"/>
        <v>998305</v>
      </c>
      <c r="U29" s="5">
        <f t="shared" si="8"/>
        <v>8093749816</v>
      </c>
      <c r="V29" s="5">
        <f t="shared" si="9"/>
        <v>89965.27005</v>
      </c>
      <c r="W29" s="5">
        <f t="shared" si="10"/>
        <v>28153165.67</v>
      </c>
    </row>
    <row r="30" ht="12.75" customHeight="1">
      <c r="A30" s="7" t="s">
        <v>23</v>
      </c>
      <c r="B30" s="8">
        <v>17.0</v>
      </c>
      <c r="C30" s="4" t="s">
        <v>21</v>
      </c>
      <c r="D30" s="4" t="s">
        <v>22</v>
      </c>
      <c r="E30" s="8">
        <v>8.0</v>
      </c>
      <c r="F30" s="6">
        <v>300.0</v>
      </c>
      <c r="G30" s="8">
        <v>5.68980082E8</v>
      </c>
      <c r="H30" s="8">
        <v>5.69980221E8</v>
      </c>
      <c r="I30" s="8">
        <v>5.69982046E8</v>
      </c>
      <c r="J30" s="8">
        <v>223.5</v>
      </c>
      <c r="K30" s="4">
        <v>81.0</v>
      </c>
      <c r="L30" s="5">
        <f t="shared" si="2"/>
        <v>304.5</v>
      </c>
      <c r="M30" s="5">
        <f t="shared" ref="M30:N30" si="37">H30 - G30</f>
        <v>1000139</v>
      </c>
      <c r="N30" s="5">
        <f t="shared" si="37"/>
        <v>1825</v>
      </c>
      <c r="O30" s="5">
        <f t="shared" si="4"/>
        <v>0.0002999583058</v>
      </c>
      <c r="P30" s="5">
        <f t="shared" si="5"/>
        <v>0.5474239081</v>
      </c>
      <c r="Q30" s="5">
        <f t="shared" si="6"/>
        <v>303.9525761</v>
      </c>
      <c r="S30" s="5">
        <f t="shared" si="7"/>
        <v>998314</v>
      </c>
      <c r="U30" s="5">
        <f t="shared" si="8"/>
        <v>8095497965</v>
      </c>
      <c r="V30" s="5">
        <f t="shared" si="9"/>
        <v>89974.98522</v>
      </c>
      <c r="W30" s="5">
        <f t="shared" si="10"/>
        <v>27348128.54</v>
      </c>
    </row>
    <row r="31" ht="12.75" customHeight="1">
      <c r="A31" s="7" t="s">
        <v>23</v>
      </c>
      <c r="B31" s="8">
        <v>15.0</v>
      </c>
      <c r="C31" s="4" t="s">
        <v>21</v>
      </c>
      <c r="D31" s="4" t="s">
        <v>22</v>
      </c>
      <c r="E31" s="8">
        <v>8.0</v>
      </c>
      <c r="F31" s="6">
        <v>300.0</v>
      </c>
      <c r="G31" s="8">
        <v>6.2788954E7</v>
      </c>
      <c r="H31" s="8">
        <v>6.378915E7</v>
      </c>
      <c r="I31" s="8">
        <v>6.3791063E7</v>
      </c>
      <c r="J31" s="8">
        <v>226.0</v>
      </c>
      <c r="K31" s="4">
        <v>81.0</v>
      </c>
      <c r="L31" s="5">
        <f t="shared" si="2"/>
        <v>307</v>
      </c>
      <c r="M31" s="5">
        <f t="shared" ref="M31:N31" si="38">H31 - G31</f>
        <v>1000196</v>
      </c>
      <c r="N31" s="5">
        <f t="shared" si="38"/>
        <v>1913</v>
      </c>
      <c r="O31" s="5">
        <f t="shared" si="4"/>
        <v>0.0002999412115</v>
      </c>
      <c r="P31" s="5">
        <f t="shared" si="5"/>
        <v>0.5737875376</v>
      </c>
      <c r="Q31" s="5">
        <f t="shared" si="6"/>
        <v>306.4262125</v>
      </c>
      <c r="S31" s="5">
        <f t="shared" si="7"/>
        <v>998283</v>
      </c>
      <c r="U31" s="5">
        <f t="shared" si="8"/>
        <v>8093652710</v>
      </c>
      <c r="V31" s="5">
        <f t="shared" si="9"/>
        <v>89964.73037</v>
      </c>
      <c r="W31" s="5">
        <f t="shared" si="10"/>
        <v>27567551.58</v>
      </c>
    </row>
    <row r="32" ht="12.75" customHeight="1">
      <c r="A32" s="7" t="s">
        <v>23</v>
      </c>
      <c r="B32" s="8">
        <v>15.0</v>
      </c>
      <c r="C32" s="4" t="s">
        <v>21</v>
      </c>
      <c r="D32" s="4" t="s">
        <v>22</v>
      </c>
      <c r="E32" s="8">
        <v>8.0</v>
      </c>
      <c r="F32" s="6">
        <v>300.0</v>
      </c>
      <c r="G32" s="8">
        <v>1.58097322E8</v>
      </c>
      <c r="H32" s="8">
        <v>1.58997367E8</v>
      </c>
      <c r="I32" s="8">
        <v>1.58999187E8</v>
      </c>
      <c r="J32" s="8">
        <v>208.5</v>
      </c>
      <c r="K32" s="4">
        <v>81.0</v>
      </c>
      <c r="L32" s="5">
        <f t="shared" si="2"/>
        <v>289.5</v>
      </c>
      <c r="M32" s="5">
        <f t="shared" ref="M32:N32" si="39">H32 - G32</f>
        <v>900045</v>
      </c>
      <c r="N32" s="5">
        <f t="shared" si="39"/>
        <v>1820</v>
      </c>
      <c r="O32" s="5">
        <f t="shared" si="4"/>
        <v>0.0003333166675</v>
      </c>
      <c r="P32" s="5">
        <f t="shared" si="5"/>
        <v>0.6066363348</v>
      </c>
      <c r="Q32" s="5">
        <f t="shared" si="6"/>
        <v>288.8933637</v>
      </c>
      <c r="S32" s="5">
        <f t="shared" si="7"/>
        <v>898225</v>
      </c>
      <c r="U32" s="5">
        <f t="shared" si="8"/>
        <v>12343210185</v>
      </c>
      <c r="V32" s="5">
        <f t="shared" si="9"/>
        <v>111100.0008</v>
      </c>
      <c r="W32" s="5">
        <f t="shared" si="10"/>
        <v>32096052.94</v>
      </c>
    </row>
    <row r="33" ht="12.75" customHeight="1">
      <c r="A33" s="7" t="s">
        <v>23</v>
      </c>
      <c r="B33" s="8">
        <v>15.0</v>
      </c>
      <c r="C33" s="4" t="s">
        <v>21</v>
      </c>
      <c r="D33" s="4" t="s">
        <v>22</v>
      </c>
      <c r="E33" s="8">
        <v>8.0</v>
      </c>
      <c r="F33" s="6">
        <v>300.0</v>
      </c>
      <c r="G33" s="8">
        <v>2.43904888E8</v>
      </c>
      <c r="H33" s="8">
        <v>2.44804847E8</v>
      </c>
      <c r="I33" s="8">
        <v>2.44806712E8</v>
      </c>
      <c r="J33" s="8">
        <v>213.5</v>
      </c>
      <c r="K33" s="4">
        <v>81.0</v>
      </c>
      <c r="L33" s="5">
        <f t="shared" si="2"/>
        <v>294.5</v>
      </c>
      <c r="M33" s="5">
        <f t="shared" ref="M33:N33" si="40">H33 - G33</f>
        <v>899959</v>
      </c>
      <c r="N33" s="5">
        <f t="shared" si="40"/>
        <v>1865</v>
      </c>
      <c r="O33" s="5">
        <f t="shared" si="4"/>
        <v>0.0003333485192</v>
      </c>
      <c r="P33" s="5">
        <f t="shared" si="5"/>
        <v>0.6216949883</v>
      </c>
      <c r="Q33" s="5">
        <f t="shared" si="6"/>
        <v>293.878305</v>
      </c>
      <c r="S33" s="5">
        <f t="shared" si="7"/>
        <v>898094</v>
      </c>
      <c r="U33" s="5">
        <f t="shared" si="8"/>
        <v>12347928926</v>
      </c>
      <c r="V33" s="5">
        <f t="shared" si="9"/>
        <v>111121.2353</v>
      </c>
      <c r="W33" s="5">
        <f t="shared" si="10"/>
        <v>32656120.27</v>
      </c>
    </row>
    <row r="34" ht="12.75" customHeight="1">
      <c r="A34" s="7" t="s">
        <v>23</v>
      </c>
      <c r="B34" s="8">
        <v>15.0</v>
      </c>
      <c r="C34" s="4" t="s">
        <v>21</v>
      </c>
      <c r="D34" s="4" t="s">
        <v>22</v>
      </c>
      <c r="E34" s="8">
        <v>8.0</v>
      </c>
      <c r="F34" s="6">
        <v>300.0</v>
      </c>
      <c r="G34" s="8">
        <v>3.1981148E8</v>
      </c>
      <c r="H34" s="8">
        <v>3.20811515E8</v>
      </c>
      <c r="I34" s="8">
        <v>3.2081334E8</v>
      </c>
      <c r="J34" s="8">
        <v>223.5</v>
      </c>
      <c r="K34" s="4">
        <v>81.0</v>
      </c>
      <c r="L34" s="5">
        <f t="shared" si="2"/>
        <v>304.5</v>
      </c>
      <c r="M34" s="5">
        <f t="shared" ref="M34:N34" si="41">H34 - G34</f>
        <v>1000035</v>
      </c>
      <c r="N34" s="5">
        <f t="shared" si="41"/>
        <v>1825</v>
      </c>
      <c r="O34" s="5">
        <f t="shared" si="4"/>
        <v>0.0002999895004</v>
      </c>
      <c r="P34" s="5">
        <f t="shared" si="5"/>
        <v>0.5474808382</v>
      </c>
      <c r="Q34" s="5">
        <f t="shared" si="6"/>
        <v>303.9525192</v>
      </c>
      <c r="S34" s="5">
        <f t="shared" si="7"/>
        <v>998210</v>
      </c>
      <c r="U34" s="5">
        <f t="shared" si="8"/>
        <v>8098866099</v>
      </c>
      <c r="V34" s="5">
        <f t="shared" si="9"/>
        <v>89993.70033</v>
      </c>
      <c r="W34" s="5">
        <f t="shared" si="10"/>
        <v>27353811.92</v>
      </c>
    </row>
    <row r="35" ht="12.75" customHeight="1">
      <c r="A35" s="7" t="s">
        <v>23</v>
      </c>
      <c r="B35" s="8">
        <v>15.0</v>
      </c>
      <c r="C35" s="4" t="s">
        <v>21</v>
      </c>
      <c r="D35" s="4" t="s">
        <v>22</v>
      </c>
      <c r="E35" s="8">
        <v>8.0</v>
      </c>
      <c r="F35" s="6">
        <v>300.0</v>
      </c>
      <c r="G35" s="8">
        <v>3.76416271E8</v>
      </c>
      <c r="H35" s="8">
        <v>3.77416341E8</v>
      </c>
      <c r="I35" s="8">
        <v>3.77418155E8</v>
      </c>
      <c r="J35" s="8">
        <v>216.5</v>
      </c>
      <c r="K35" s="4">
        <v>81.0</v>
      </c>
      <c r="L35" s="5">
        <f t="shared" si="2"/>
        <v>297.5</v>
      </c>
      <c r="M35" s="5">
        <f t="shared" ref="M35:N35" si="42">H35 - G35</f>
        <v>1000070</v>
      </c>
      <c r="N35" s="5">
        <f t="shared" si="42"/>
        <v>1814</v>
      </c>
      <c r="O35" s="5">
        <f t="shared" si="4"/>
        <v>0.0002999790015</v>
      </c>
      <c r="P35" s="5">
        <f t="shared" si="5"/>
        <v>0.5441619087</v>
      </c>
      <c r="Q35" s="5">
        <f t="shared" si="6"/>
        <v>296.9558381</v>
      </c>
      <c r="S35" s="5">
        <f t="shared" si="7"/>
        <v>998256</v>
      </c>
      <c r="U35" s="5">
        <f t="shared" si="8"/>
        <v>8097732397</v>
      </c>
      <c r="V35" s="5">
        <f t="shared" si="9"/>
        <v>89987.40132</v>
      </c>
      <c r="W35" s="5">
        <f t="shared" si="10"/>
        <v>26722284.18</v>
      </c>
    </row>
    <row r="36" ht="12.75" customHeight="1">
      <c r="A36" s="7" t="s">
        <v>23</v>
      </c>
      <c r="B36" s="8">
        <v>14.0</v>
      </c>
      <c r="C36" s="4" t="s">
        <v>21</v>
      </c>
      <c r="D36" s="4" t="s">
        <v>22</v>
      </c>
      <c r="E36" s="8">
        <v>8.0</v>
      </c>
      <c r="F36" s="6">
        <v>300.0</v>
      </c>
      <c r="G36" s="8">
        <v>6.0151615E7</v>
      </c>
      <c r="H36" s="8">
        <v>6.1151785E7</v>
      </c>
      <c r="I36" s="8">
        <v>6.1153659E7</v>
      </c>
      <c r="J36" s="8">
        <v>331.0</v>
      </c>
      <c r="K36" s="4">
        <v>-31.0</v>
      </c>
      <c r="L36" s="5">
        <f t="shared" si="2"/>
        <v>300</v>
      </c>
      <c r="M36" s="5">
        <f t="shared" ref="M36:N36" si="43">H36 - G36</f>
        <v>1000170</v>
      </c>
      <c r="N36" s="5">
        <f t="shared" si="43"/>
        <v>1874</v>
      </c>
      <c r="O36" s="5">
        <f t="shared" si="4"/>
        <v>0.0002999490087</v>
      </c>
      <c r="P36" s="5">
        <f t="shared" si="5"/>
        <v>0.5621044422</v>
      </c>
      <c r="Q36" s="5">
        <f t="shared" si="6"/>
        <v>299.4378956</v>
      </c>
      <c r="S36" s="5">
        <f t="shared" si="7"/>
        <v>998296</v>
      </c>
      <c r="U36" s="5">
        <f t="shared" si="8"/>
        <v>8094494340</v>
      </c>
      <c r="V36" s="5">
        <f t="shared" si="9"/>
        <v>89969.4078</v>
      </c>
      <c r="W36" s="5">
        <f t="shared" si="10"/>
        <v>26940250.14</v>
      </c>
    </row>
    <row r="37" ht="12.75" customHeight="1">
      <c r="A37" s="7" t="s">
        <v>23</v>
      </c>
      <c r="B37" s="8">
        <v>14.0</v>
      </c>
      <c r="C37" s="4" t="s">
        <v>21</v>
      </c>
      <c r="D37" s="4" t="s">
        <v>22</v>
      </c>
      <c r="E37" s="8">
        <v>8.0</v>
      </c>
      <c r="F37" s="6">
        <v>300.0</v>
      </c>
      <c r="G37" s="8">
        <v>1.33658111E8</v>
      </c>
      <c r="H37" s="8">
        <v>1.34658201E8</v>
      </c>
      <c r="I37" s="8">
        <v>1.34660015E8</v>
      </c>
      <c r="J37" s="8">
        <v>346.0</v>
      </c>
      <c r="K37" s="4">
        <v>-31.0</v>
      </c>
      <c r="L37" s="5">
        <f t="shared" si="2"/>
        <v>315</v>
      </c>
      <c r="M37" s="5">
        <f t="shared" ref="M37:N37" si="44">H37 - G37</f>
        <v>1000090</v>
      </c>
      <c r="N37" s="5">
        <f t="shared" si="44"/>
        <v>1814</v>
      </c>
      <c r="O37" s="5">
        <f t="shared" si="4"/>
        <v>0.0002999730024</v>
      </c>
      <c r="P37" s="5">
        <f t="shared" si="5"/>
        <v>0.5441510264</v>
      </c>
      <c r="Q37" s="5">
        <f t="shared" si="6"/>
        <v>314.455849</v>
      </c>
      <c r="S37" s="5">
        <f t="shared" si="7"/>
        <v>998276</v>
      </c>
      <c r="U37" s="5">
        <f t="shared" si="8"/>
        <v>8097084656</v>
      </c>
      <c r="V37" s="5">
        <f t="shared" si="9"/>
        <v>89983.80219</v>
      </c>
      <c r="W37" s="5">
        <f t="shared" si="10"/>
        <v>28295932.91</v>
      </c>
    </row>
    <row r="38" ht="12.75" customHeight="1">
      <c r="A38" s="7" t="s">
        <v>23</v>
      </c>
      <c r="B38" s="8">
        <v>14.0</v>
      </c>
      <c r="C38" s="4" t="s">
        <v>21</v>
      </c>
      <c r="D38" s="4" t="s">
        <v>22</v>
      </c>
      <c r="E38" s="8">
        <v>8.0</v>
      </c>
      <c r="F38" s="6">
        <v>300.0</v>
      </c>
      <c r="G38" s="8">
        <v>1.915632E8</v>
      </c>
      <c r="H38" s="8">
        <v>1.92463186E8</v>
      </c>
      <c r="I38" s="8">
        <v>1.9246504E8</v>
      </c>
      <c r="J38" s="8">
        <v>328.0</v>
      </c>
      <c r="K38" s="4">
        <v>-31.0</v>
      </c>
      <c r="L38" s="5">
        <f t="shared" si="2"/>
        <v>297</v>
      </c>
      <c r="M38" s="5">
        <f t="shared" ref="M38:N38" si="45">H38 - G38</f>
        <v>899986</v>
      </c>
      <c r="N38" s="5">
        <f t="shared" si="45"/>
        <v>1854</v>
      </c>
      <c r="O38" s="5">
        <f t="shared" si="4"/>
        <v>0.0003333385186</v>
      </c>
      <c r="P38" s="5">
        <f t="shared" si="5"/>
        <v>0.6180096135</v>
      </c>
      <c r="Q38" s="5">
        <f t="shared" si="6"/>
        <v>296.3819904</v>
      </c>
      <c r="S38" s="5">
        <f t="shared" si="7"/>
        <v>898132</v>
      </c>
      <c r="U38" s="5">
        <f t="shared" si="8"/>
        <v>12346447218</v>
      </c>
      <c r="V38" s="5">
        <f t="shared" si="9"/>
        <v>111114.568</v>
      </c>
      <c r="W38" s="5">
        <f t="shared" si="10"/>
        <v>32932356.82</v>
      </c>
    </row>
    <row r="39" ht="12.75" customHeight="1">
      <c r="A39" s="7" t="s">
        <v>23</v>
      </c>
      <c r="B39" s="8">
        <v>14.0</v>
      </c>
      <c r="C39" s="4" t="s">
        <v>21</v>
      </c>
      <c r="D39" s="4" t="s">
        <v>22</v>
      </c>
      <c r="E39" s="8">
        <v>8.0</v>
      </c>
      <c r="F39" s="6">
        <v>300.0</v>
      </c>
      <c r="G39" s="8">
        <v>2.49968324E8</v>
      </c>
      <c r="H39" s="8">
        <v>2.50968401E8</v>
      </c>
      <c r="I39" s="8">
        <v>2.50970237E8</v>
      </c>
      <c r="J39" s="8">
        <v>333.0</v>
      </c>
      <c r="K39" s="4">
        <v>-31.0</v>
      </c>
      <c r="L39" s="5">
        <f t="shared" si="2"/>
        <v>302</v>
      </c>
      <c r="M39" s="5">
        <f t="shared" ref="M39:N39" si="46">H39 - G39</f>
        <v>1000077</v>
      </c>
      <c r="N39" s="5">
        <f t="shared" si="46"/>
        <v>1836</v>
      </c>
      <c r="O39" s="5">
        <f t="shared" si="4"/>
        <v>0.0002999769018</v>
      </c>
      <c r="P39" s="5">
        <f t="shared" si="5"/>
        <v>0.5507575917</v>
      </c>
      <c r="Q39" s="5">
        <f t="shared" si="6"/>
        <v>301.4492424</v>
      </c>
      <c r="S39" s="5">
        <f t="shared" si="7"/>
        <v>998241</v>
      </c>
      <c r="U39" s="5">
        <f t="shared" si="8"/>
        <v>8097505680</v>
      </c>
      <c r="V39" s="5">
        <f t="shared" si="9"/>
        <v>89986.1416</v>
      </c>
      <c r="W39" s="5">
        <f t="shared" si="10"/>
        <v>27126254.21</v>
      </c>
    </row>
    <row r="40" ht="12.75" customHeight="1">
      <c r="A40" s="7" t="s">
        <v>23</v>
      </c>
      <c r="B40" s="8">
        <v>14.0</v>
      </c>
      <c r="C40" s="4" t="s">
        <v>21</v>
      </c>
      <c r="D40" s="4" t="s">
        <v>22</v>
      </c>
      <c r="E40" s="8">
        <v>8.0</v>
      </c>
      <c r="F40" s="6">
        <v>300.0</v>
      </c>
      <c r="G40" s="8">
        <v>3.3407553E8</v>
      </c>
      <c r="H40" s="8">
        <v>3.35075726E8</v>
      </c>
      <c r="I40" s="8">
        <v>3.350776E8</v>
      </c>
      <c r="J40" s="8">
        <v>344.0</v>
      </c>
      <c r="K40" s="4">
        <v>-31.0</v>
      </c>
      <c r="L40" s="5">
        <f t="shared" si="2"/>
        <v>313</v>
      </c>
      <c r="M40" s="5">
        <f t="shared" ref="M40:N40" si="47">H40 - G40</f>
        <v>1000196</v>
      </c>
      <c r="N40" s="5">
        <f t="shared" si="47"/>
        <v>1874</v>
      </c>
      <c r="O40" s="5">
        <f t="shared" si="4"/>
        <v>0.0002999412115</v>
      </c>
      <c r="P40" s="5">
        <f t="shared" si="5"/>
        <v>0.5620898304</v>
      </c>
      <c r="Q40" s="5">
        <f t="shared" si="6"/>
        <v>312.4379102</v>
      </c>
      <c r="S40" s="5">
        <f t="shared" si="7"/>
        <v>998322</v>
      </c>
      <c r="U40" s="5">
        <f t="shared" si="8"/>
        <v>8093652710</v>
      </c>
      <c r="V40" s="5">
        <f t="shared" si="9"/>
        <v>89964.73037</v>
      </c>
      <c r="W40" s="5">
        <f t="shared" si="10"/>
        <v>28108392.35</v>
      </c>
    </row>
    <row r="41" ht="12.75" customHeight="1">
      <c r="A41" s="7" t="s">
        <v>23</v>
      </c>
      <c r="B41" s="8">
        <v>13.0</v>
      </c>
      <c r="C41" s="4" t="s">
        <v>21</v>
      </c>
      <c r="D41" s="4" t="s">
        <v>22</v>
      </c>
      <c r="E41" s="8">
        <v>8.0</v>
      </c>
      <c r="F41" s="6">
        <v>300.0</v>
      </c>
      <c r="G41" s="8">
        <v>6.0298785E7</v>
      </c>
      <c r="H41" s="8">
        <v>6.1299041E7</v>
      </c>
      <c r="I41" s="8">
        <v>6.1300869E7</v>
      </c>
      <c r="J41" s="8">
        <v>205.5</v>
      </c>
      <c r="K41" s="4">
        <v>81.0</v>
      </c>
      <c r="L41" s="5">
        <f t="shared" si="2"/>
        <v>286.5</v>
      </c>
      <c r="M41" s="5">
        <f t="shared" ref="M41:N41" si="48">H41 - G41</f>
        <v>1000256</v>
      </c>
      <c r="N41" s="5">
        <f t="shared" si="48"/>
        <v>1828</v>
      </c>
      <c r="O41" s="5">
        <f t="shared" si="4"/>
        <v>0.0002999232197</v>
      </c>
      <c r="P41" s="5">
        <f t="shared" si="5"/>
        <v>0.5482596455</v>
      </c>
      <c r="Q41" s="5">
        <f t="shared" si="6"/>
        <v>285.9517404</v>
      </c>
      <c r="S41" s="5">
        <f t="shared" si="7"/>
        <v>998428</v>
      </c>
      <c r="U41" s="5">
        <f t="shared" si="8"/>
        <v>8091710906</v>
      </c>
      <c r="V41" s="5">
        <f t="shared" si="9"/>
        <v>89953.93769</v>
      </c>
      <c r="W41" s="5">
        <f t="shared" si="10"/>
        <v>25722485.03</v>
      </c>
    </row>
    <row r="42" ht="12.75" customHeight="1">
      <c r="A42" s="7" t="s">
        <v>23</v>
      </c>
      <c r="B42" s="8">
        <v>13.0</v>
      </c>
      <c r="C42" s="4" t="s">
        <v>21</v>
      </c>
      <c r="D42" s="4" t="s">
        <v>22</v>
      </c>
      <c r="E42" s="8">
        <v>8.0</v>
      </c>
      <c r="F42" s="6">
        <v>300.0</v>
      </c>
      <c r="G42" s="8">
        <v>1.29704978E8</v>
      </c>
      <c r="H42" s="8">
        <v>1.30705085E8</v>
      </c>
      <c r="I42" s="8">
        <v>1.30706908E8</v>
      </c>
      <c r="J42" s="8">
        <v>198.5</v>
      </c>
      <c r="K42" s="4">
        <v>81.0</v>
      </c>
      <c r="L42" s="5">
        <f t="shared" si="2"/>
        <v>279.5</v>
      </c>
      <c r="M42" s="5">
        <f t="shared" ref="M42:N42" si="49">H42 - G42</f>
        <v>1000107</v>
      </c>
      <c r="N42" s="5">
        <f t="shared" si="49"/>
        <v>1823</v>
      </c>
      <c r="O42" s="5">
        <f t="shared" si="4"/>
        <v>0.0002999679034</v>
      </c>
      <c r="P42" s="5">
        <f t="shared" si="5"/>
        <v>0.546841488</v>
      </c>
      <c r="Q42" s="5">
        <f t="shared" si="6"/>
        <v>278.9531585</v>
      </c>
      <c r="S42" s="5">
        <f t="shared" si="7"/>
        <v>998284</v>
      </c>
      <c r="U42" s="5">
        <f t="shared" si="8"/>
        <v>8096534127</v>
      </c>
      <c r="V42" s="5">
        <f t="shared" si="9"/>
        <v>89980.74309</v>
      </c>
      <c r="W42" s="5">
        <f t="shared" si="10"/>
        <v>25100412.49</v>
      </c>
    </row>
    <row r="43" ht="12.75" customHeight="1">
      <c r="A43" s="7" t="s">
        <v>23</v>
      </c>
      <c r="B43" s="8">
        <v>13.0</v>
      </c>
      <c r="C43" s="4" t="s">
        <v>21</v>
      </c>
      <c r="D43" s="4" t="s">
        <v>22</v>
      </c>
      <c r="E43" s="8">
        <v>8.0</v>
      </c>
      <c r="F43" s="6">
        <v>300.0</v>
      </c>
      <c r="G43" s="8">
        <v>1.83909596E8</v>
      </c>
      <c r="H43" s="8">
        <v>1.84909709E8</v>
      </c>
      <c r="I43" s="8">
        <v>1.84911516E8</v>
      </c>
      <c r="J43" s="8">
        <v>211.5</v>
      </c>
      <c r="K43" s="4">
        <v>81.0</v>
      </c>
      <c r="L43" s="5">
        <f t="shared" si="2"/>
        <v>292.5</v>
      </c>
      <c r="M43" s="5">
        <f t="shared" ref="M43:N43" si="50">H43 - G43</f>
        <v>1000113</v>
      </c>
      <c r="N43" s="5">
        <f t="shared" si="50"/>
        <v>1807</v>
      </c>
      <c r="O43" s="5">
        <f t="shared" si="4"/>
        <v>0.0002999661038</v>
      </c>
      <c r="P43" s="5">
        <f t="shared" si="5"/>
        <v>0.5420387496</v>
      </c>
      <c r="Q43" s="5">
        <f t="shared" si="6"/>
        <v>291.9579613</v>
      </c>
      <c r="S43" s="5">
        <f t="shared" si="7"/>
        <v>998306</v>
      </c>
      <c r="U43" s="5">
        <f t="shared" si="8"/>
        <v>8096339834</v>
      </c>
      <c r="V43" s="5">
        <f t="shared" si="9"/>
        <v>89979.66345</v>
      </c>
      <c r="W43" s="5">
        <f t="shared" si="10"/>
        <v>26270279.09</v>
      </c>
    </row>
    <row r="44" ht="12.75" customHeight="1">
      <c r="A44" s="7" t="s">
        <v>23</v>
      </c>
      <c r="B44" s="8">
        <v>13.0</v>
      </c>
      <c r="C44" s="4" t="s">
        <v>21</v>
      </c>
      <c r="D44" s="4" t="s">
        <v>22</v>
      </c>
      <c r="E44" s="8">
        <v>8.0</v>
      </c>
      <c r="F44" s="6">
        <v>300.0</v>
      </c>
      <c r="G44" s="8">
        <v>2.39414556E8</v>
      </c>
      <c r="H44" s="8">
        <v>2.40414745E8</v>
      </c>
      <c r="I44" s="8">
        <v>2.40416648E8</v>
      </c>
      <c r="J44" s="8">
        <v>198.5</v>
      </c>
      <c r="K44" s="4">
        <v>81.0</v>
      </c>
      <c r="L44" s="5">
        <f t="shared" si="2"/>
        <v>279.5</v>
      </c>
      <c r="M44" s="5">
        <f t="shared" ref="M44:N44" si="51">H44 - G44</f>
        <v>1000189</v>
      </c>
      <c r="N44" s="5">
        <f t="shared" si="51"/>
        <v>1903</v>
      </c>
      <c r="O44" s="5">
        <f t="shared" si="4"/>
        <v>0.0002999433107</v>
      </c>
      <c r="P44" s="5">
        <f t="shared" si="5"/>
        <v>0.5707921203</v>
      </c>
      <c r="Q44" s="5">
        <f t="shared" si="6"/>
        <v>278.9292079</v>
      </c>
      <c r="S44" s="5">
        <f t="shared" si="7"/>
        <v>998286</v>
      </c>
      <c r="U44" s="5">
        <f t="shared" si="8"/>
        <v>8093879292</v>
      </c>
      <c r="V44" s="5">
        <f t="shared" si="9"/>
        <v>89965.98964</v>
      </c>
      <c r="W44" s="5">
        <f t="shared" si="10"/>
        <v>25094142.23</v>
      </c>
    </row>
    <row r="45" ht="12.75" customHeight="1">
      <c r="A45" s="7" t="s">
        <v>23</v>
      </c>
      <c r="B45" s="8">
        <v>13.0</v>
      </c>
      <c r="C45" s="4" t="s">
        <v>21</v>
      </c>
      <c r="D45" s="4" t="s">
        <v>22</v>
      </c>
      <c r="E45" s="8">
        <v>8.0</v>
      </c>
      <c r="F45" s="6">
        <v>300.0</v>
      </c>
      <c r="G45" s="8">
        <v>2.82018311E8</v>
      </c>
      <c r="H45" s="8">
        <v>2.83018449E8</v>
      </c>
      <c r="I45" s="8">
        <v>2.83020343E8</v>
      </c>
      <c r="J45" s="8">
        <v>210.5</v>
      </c>
      <c r="K45" s="4">
        <v>81.0</v>
      </c>
      <c r="L45" s="5">
        <f t="shared" si="2"/>
        <v>291.5</v>
      </c>
      <c r="M45" s="5">
        <f t="shared" ref="M45:N45" si="52">H45 - G45</f>
        <v>1000138</v>
      </c>
      <c r="N45" s="5">
        <f t="shared" si="52"/>
        <v>1894</v>
      </c>
      <c r="O45" s="5">
        <f t="shared" si="4"/>
        <v>0.0002999586057</v>
      </c>
      <c r="P45" s="5">
        <f t="shared" si="5"/>
        <v>0.5681215992</v>
      </c>
      <c r="Q45" s="5">
        <f t="shared" si="6"/>
        <v>290.9318784</v>
      </c>
      <c r="S45" s="5">
        <f t="shared" si="7"/>
        <v>998244</v>
      </c>
      <c r="U45" s="5">
        <f t="shared" si="8"/>
        <v>8095530342</v>
      </c>
      <c r="V45" s="5">
        <f t="shared" si="9"/>
        <v>89975.16514</v>
      </c>
      <c r="W45" s="5">
        <f t="shared" si="10"/>
        <v>26176643.8</v>
      </c>
    </row>
    <row r="46" ht="12.75" customHeight="1">
      <c r="A46" s="7" t="s">
        <v>23</v>
      </c>
      <c r="B46" s="8">
        <v>18.0</v>
      </c>
      <c r="C46" s="4" t="s">
        <v>21</v>
      </c>
      <c r="D46" s="4" t="s">
        <v>22</v>
      </c>
      <c r="E46" s="8">
        <v>8.0</v>
      </c>
      <c r="F46" s="6">
        <v>300.0</v>
      </c>
      <c r="G46" s="8">
        <v>4.6594907E7</v>
      </c>
      <c r="H46" s="8">
        <v>4.7495016E7</v>
      </c>
      <c r="I46" s="8">
        <v>4.7496886E7</v>
      </c>
      <c r="J46" s="8">
        <v>218.5</v>
      </c>
      <c r="K46" s="4">
        <v>81.0</v>
      </c>
      <c r="L46" s="5">
        <f t="shared" si="2"/>
        <v>299.5</v>
      </c>
      <c r="M46" s="5">
        <f t="shared" ref="M46:N46" si="53">H46 - G46</f>
        <v>900109</v>
      </c>
      <c r="N46" s="5">
        <f t="shared" si="53"/>
        <v>1870</v>
      </c>
      <c r="O46" s="5">
        <f t="shared" si="4"/>
        <v>0.0003332929679</v>
      </c>
      <c r="P46" s="5">
        <f t="shared" si="5"/>
        <v>0.6232578499</v>
      </c>
      <c r="Q46" s="5">
        <f t="shared" si="6"/>
        <v>298.8767422</v>
      </c>
      <c r="S46" s="5">
        <f t="shared" si="7"/>
        <v>898239</v>
      </c>
      <c r="U46" s="5">
        <f t="shared" si="8"/>
        <v>12339700027</v>
      </c>
      <c r="V46" s="5">
        <f t="shared" si="9"/>
        <v>111084.2024</v>
      </c>
      <c r="W46" s="5">
        <f t="shared" si="10"/>
        <v>33200484.52</v>
      </c>
    </row>
    <row r="47" ht="12.75" customHeight="1">
      <c r="A47" s="7" t="s">
        <v>23</v>
      </c>
      <c r="B47" s="8">
        <v>18.0</v>
      </c>
      <c r="C47" s="4" t="s">
        <v>21</v>
      </c>
      <c r="D47" s="4" t="s">
        <v>22</v>
      </c>
      <c r="E47" s="8">
        <v>8.0</v>
      </c>
      <c r="F47" s="6">
        <v>300.0</v>
      </c>
      <c r="G47" s="8">
        <v>1.49804107E8</v>
      </c>
      <c r="H47" s="8">
        <v>1.50804199E8</v>
      </c>
      <c r="I47" s="8">
        <v>1.50806025E8</v>
      </c>
      <c r="J47" s="8">
        <v>238.5</v>
      </c>
      <c r="K47" s="4">
        <v>81.0</v>
      </c>
      <c r="L47" s="5">
        <f t="shared" si="2"/>
        <v>319.5</v>
      </c>
      <c r="M47" s="5">
        <f t="shared" ref="M47:N47" si="54">H47 - G47</f>
        <v>1000092</v>
      </c>
      <c r="N47" s="5">
        <f t="shared" si="54"/>
        <v>1826</v>
      </c>
      <c r="O47" s="5">
        <f t="shared" si="4"/>
        <v>0.0002999724025</v>
      </c>
      <c r="P47" s="5">
        <f t="shared" si="5"/>
        <v>0.547749607</v>
      </c>
      <c r="Q47" s="5">
        <f t="shared" si="6"/>
        <v>318.9522504</v>
      </c>
      <c r="S47" s="5">
        <f t="shared" si="7"/>
        <v>998266</v>
      </c>
      <c r="U47" s="5">
        <f t="shared" si="8"/>
        <v>8097019885</v>
      </c>
      <c r="V47" s="5">
        <f t="shared" si="9"/>
        <v>89983.44228</v>
      </c>
      <c r="W47" s="5">
        <f t="shared" si="10"/>
        <v>28700421.41</v>
      </c>
    </row>
    <row r="48" ht="12.75" customHeight="1">
      <c r="A48" s="7" t="s">
        <v>23</v>
      </c>
      <c r="B48" s="8">
        <v>18.0</v>
      </c>
      <c r="C48" s="4" t="s">
        <v>21</v>
      </c>
      <c r="D48" s="4" t="s">
        <v>22</v>
      </c>
      <c r="E48" s="8">
        <v>8.0</v>
      </c>
      <c r="F48" s="6">
        <v>300.0</v>
      </c>
      <c r="G48" s="8">
        <v>2.80015399E8</v>
      </c>
      <c r="H48" s="8">
        <v>2.81015632E8</v>
      </c>
      <c r="I48" s="8">
        <v>2.81017507E8</v>
      </c>
      <c r="J48" s="8">
        <v>236.0</v>
      </c>
      <c r="K48" s="4">
        <v>81.0</v>
      </c>
      <c r="L48" s="5">
        <f t="shared" si="2"/>
        <v>317</v>
      </c>
      <c r="M48" s="5">
        <f t="shared" ref="M48:N48" si="55">H48 - G48</f>
        <v>1000233</v>
      </c>
      <c r="N48" s="5">
        <f t="shared" si="55"/>
        <v>1875</v>
      </c>
      <c r="O48" s="5">
        <f t="shared" si="4"/>
        <v>0.0002999301163</v>
      </c>
      <c r="P48" s="5">
        <f t="shared" si="5"/>
        <v>0.562368968</v>
      </c>
      <c r="Q48" s="5">
        <f t="shared" si="6"/>
        <v>316.437631</v>
      </c>
      <c r="S48" s="5">
        <f t="shared" si="7"/>
        <v>998358</v>
      </c>
      <c r="U48" s="5">
        <f t="shared" si="8"/>
        <v>8092455195</v>
      </c>
      <c r="V48" s="5">
        <f t="shared" si="9"/>
        <v>89958.07465</v>
      </c>
      <c r="W48" s="5">
        <f t="shared" si="10"/>
        <v>28466120.04</v>
      </c>
    </row>
    <row r="49" ht="12.75" customHeight="1">
      <c r="A49" s="7" t="s">
        <v>23</v>
      </c>
      <c r="B49" s="8">
        <v>18.0</v>
      </c>
      <c r="C49" s="4" t="s">
        <v>21</v>
      </c>
      <c r="D49" s="4" t="s">
        <v>22</v>
      </c>
      <c r="E49" s="8">
        <v>8.0</v>
      </c>
      <c r="F49" s="4">
        <v>300.0</v>
      </c>
      <c r="G49" s="8">
        <v>3.41720752E8</v>
      </c>
      <c r="H49" s="8">
        <v>3.4272092E8</v>
      </c>
      <c r="I49" s="8">
        <v>3.42722761E8</v>
      </c>
      <c r="J49" s="8">
        <v>241.5</v>
      </c>
      <c r="K49" s="4">
        <v>81.0</v>
      </c>
      <c r="L49" s="5">
        <f t="shared" si="2"/>
        <v>322.5</v>
      </c>
      <c r="M49" s="5">
        <f t="shared" ref="M49:N49" si="56">H49 - G49</f>
        <v>1000168</v>
      </c>
      <c r="N49" s="5">
        <f t="shared" si="56"/>
        <v>1841</v>
      </c>
      <c r="O49" s="5">
        <f t="shared" si="4"/>
        <v>0.0002999496085</v>
      </c>
      <c r="P49" s="5">
        <f t="shared" si="5"/>
        <v>0.5522072292</v>
      </c>
      <c r="Q49" s="5">
        <f t="shared" si="6"/>
        <v>321.9477928</v>
      </c>
      <c r="S49" s="5">
        <f t="shared" si="7"/>
        <v>998327</v>
      </c>
      <c r="U49" s="5">
        <f t="shared" si="8"/>
        <v>8094559085</v>
      </c>
      <c r="V49" s="5">
        <f t="shared" si="9"/>
        <v>89969.76762</v>
      </c>
      <c r="W49" s="5">
        <f t="shared" si="10"/>
        <v>28965568.1</v>
      </c>
    </row>
    <row r="50" ht="12.75" customHeight="1">
      <c r="A50" s="4" t="s">
        <v>23</v>
      </c>
      <c r="B50" s="8">
        <v>18.0</v>
      </c>
      <c r="C50" s="4" t="s">
        <v>21</v>
      </c>
      <c r="D50" s="4" t="s">
        <v>22</v>
      </c>
      <c r="E50" s="8">
        <v>12.0</v>
      </c>
      <c r="F50" s="4">
        <v>300.0</v>
      </c>
      <c r="G50" s="8">
        <v>3.2359066E7</v>
      </c>
      <c r="H50" s="8">
        <v>3.2859262E7</v>
      </c>
      <c r="I50" s="8">
        <v>3.2861095E7</v>
      </c>
      <c r="J50" s="8">
        <v>1059.95</v>
      </c>
      <c r="K50" s="4">
        <v>-31.0</v>
      </c>
      <c r="L50" s="5">
        <f t="shared" si="2"/>
        <v>1028.95</v>
      </c>
      <c r="M50" s="5">
        <f t="shared" ref="M50:N50" si="57">H50 - G50</f>
        <v>500196</v>
      </c>
      <c r="N50" s="5">
        <f t="shared" si="57"/>
        <v>1833</v>
      </c>
      <c r="O50" s="5">
        <f t="shared" si="4"/>
        <v>0.0005997648922</v>
      </c>
      <c r="P50" s="5">
        <f t="shared" si="5"/>
        <v>1.099369047</v>
      </c>
      <c r="Q50" s="5">
        <f t="shared" si="6"/>
        <v>1027.850631</v>
      </c>
      <c r="S50" s="5">
        <f t="shared" si="7"/>
        <v>498363</v>
      </c>
      <c r="U50" s="5">
        <f t="shared" si="8"/>
        <v>129396986193</v>
      </c>
      <c r="V50" s="5">
        <f t="shared" si="9"/>
        <v>359717.9259</v>
      </c>
      <c r="W50" s="5">
        <f t="shared" si="10"/>
        <v>369736297.1</v>
      </c>
    </row>
    <row r="51" ht="12.75" customHeight="1">
      <c r="A51" s="4" t="s">
        <v>23</v>
      </c>
      <c r="B51" s="8">
        <v>18.0</v>
      </c>
      <c r="C51" s="4" t="s">
        <v>21</v>
      </c>
      <c r="D51" s="4" t="s">
        <v>22</v>
      </c>
      <c r="E51" s="8">
        <v>12.0</v>
      </c>
      <c r="F51" s="4">
        <v>300.0</v>
      </c>
      <c r="G51" s="8">
        <v>1.69171101E8</v>
      </c>
      <c r="H51" s="8">
        <v>1.69571107E8</v>
      </c>
      <c r="I51" s="8">
        <v>1.69572973E8</v>
      </c>
      <c r="J51" s="8">
        <v>1023.9</v>
      </c>
      <c r="K51" s="4">
        <v>-31.0</v>
      </c>
      <c r="L51" s="5">
        <f t="shared" si="2"/>
        <v>992.9</v>
      </c>
      <c r="M51" s="5">
        <f t="shared" ref="M51:N51" si="58">H51 - G51</f>
        <v>400006</v>
      </c>
      <c r="N51" s="5">
        <f t="shared" si="58"/>
        <v>1866</v>
      </c>
      <c r="O51" s="5">
        <f t="shared" si="4"/>
        <v>0.0007499887502</v>
      </c>
      <c r="P51" s="5">
        <f t="shared" si="5"/>
        <v>1.399479008</v>
      </c>
      <c r="Q51" s="5">
        <f t="shared" si="6"/>
        <v>991.500521</v>
      </c>
      <c r="S51" s="5">
        <f t="shared" si="7"/>
        <v>398140</v>
      </c>
      <c r="U51" s="5">
        <f t="shared" si="8"/>
        <v>316387266337</v>
      </c>
      <c r="V51" s="5">
        <f t="shared" si="9"/>
        <v>562483.1254</v>
      </c>
      <c r="W51" s="5">
        <f t="shared" si="10"/>
        <v>557702311.9</v>
      </c>
    </row>
    <row r="52" ht="12.75" customHeight="1">
      <c r="A52" s="4" t="s">
        <v>23</v>
      </c>
      <c r="B52" s="8">
        <v>18.0</v>
      </c>
      <c r="C52" s="4" t="s">
        <v>21</v>
      </c>
      <c r="D52" s="4" t="s">
        <v>22</v>
      </c>
      <c r="E52" s="8">
        <v>12.0</v>
      </c>
      <c r="F52" s="4">
        <v>300.0</v>
      </c>
      <c r="G52" s="8">
        <v>2.45277766E8</v>
      </c>
      <c r="H52" s="8">
        <v>2.45677891E8</v>
      </c>
      <c r="I52" s="8">
        <v>2.4567978E8</v>
      </c>
      <c r="J52" s="8">
        <v>1029.9</v>
      </c>
      <c r="K52" s="4">
        <v>-31.0</v>
      </c>
      <c r="L52" s="5">
        <f t="shared" si="2"/>
        <v>998.9</v>
      </c>
      <c r="M52" s="5">
        <f t="shared" ref="M52:N52" si="59">H52 - G52</f>
        <v>400125</v>
      </c>
      <c r="N52" s="5">
        <f t="shared" si="59"/>
        <v>1889</v>
      </c>
      <c r="O52" s="5">
        <f t="shared" si="4"/>
        <v>0.0007497656982</v>
      </c>
      <c r="P52" s="5">
        <f t="shared" si="5"/>
        <v>1.416307404</v>
      </c>
      <c r="Q52" s="5">
        <f t="shared" si="6"/>
        <v>997.4836926</v>
      </c>
      <c r="S52" s="5">
        <f t="shared" si="7"/>
        <v>398236</v>
      </c>
      <c r="U52" s="5">
        <f t="shared" si="8"/>
        <v>316011050985</v>
      </c>
      <c r="V52" s="5">
        <f t="shared" si="9"/>
        <v>562148.6022</v>
      </c>
      <c r="W52" s="5">
        <f t="shared" si="10"/>
        <v>560734063.5</v>
      </c>
    </row>
    <row r="53" ht="12.75" customHeight="1">
      <c r="A53" s="4" t="s">
        <v>23</v>
      </c>
      <c r="B53" s="8">
        <v>18.0</v>
      </c>
      <c r="C53" s="4" t="s">
        <v>21</v>
      </c>
      <c r="D53" s="4" t="s">
        <v>22</v>
      </c>
      <c r="E53" s="8">
        <v>12.0</v>
      </c>
      <c r="F53" s="4">
        <v>300.0</v>
      </c>
      <c r="G53" s="8">
        <v>3.01182648E8</v>
      </c>
      <c r="H53" s="8">
        <v>3.01582704E8</v>
      </c>
      <c r="I53" s="8">
        <v>3.01584556E8</v>
      </c>
      <c r="J53" s="8">
        <v>1027.9</v>
      </c>
      <c r="K53" s="4">
        <v>-31.0</v>
      </c>
      <c r="L53" s="5">
        <f t="shared" si="2"/>
        <v>996.9</v>
      </c>
      <c r="M53" s="5">
        <f t="shared" ref="M53:N53" si="60">H53 - G53</f>
        <v>400056</v>
      </c>
      <c r="N53" s="5">
        <f t="shared" si="60"/>
        <v>1852</v>
      </c>
      <c r="O53" s="5">
        <f t="shared" si="4"/>
        <v>0.0007498950147</v>
      </c>
      <c r="P53" s="5">
        <f t="shared" si="5"/>
        <v>1.388805567</v>
      </c>
      <c r="Q53" s="5">
        <f t="shared" si="6"/>
        <v>995.5111944</v>
      </c>
      <c r="S53" s="5">
        <f t="shared" si="7"/>
        <v>398204</v>
      </c>
      <c r="U53" s="5">
        <f t="shared" si="8"/>
        <v>316229124498</v>
      </c>
      <c r="V53" s="5">
        <f t="shared" si="9"/>
        <v>562342.5331</v>
      </c>
      <c r="W53" s="5">
        <f t="shared" si="10"/>
        <v>559818286.8</v>
      </c>
    </row>
    <row r="54" ht="12.75" customHeight="1">
      <c r="A54" s="4" t="s">
        <v>23</v>
      </c>
      <c r="B54" s="8">
        <v>18.0</v>
      </c>
      <c r="C54" s="4" t="s">
        <v>21</v>
      </c>
      <c r="D54" s="4" t="s">
        <v>22</v>
      </c>
      <c r="E54" s="8">
        <v>12.0</v>
      </c>
      <c r="F54" s="4">
        <v>300.0</v>
      </c>
      <c r="G54" s="8">
        <v>3.72088962E8</v>
      </c>
      <c r="H54" s="8">
        <v>3.72588974E8</v>
      </c>
      <c r="I54" s="8">
        <v>3.72590794E8</v>
      </c>
      <c r="J54" s="8">
        <v>1054.9</v>
      </c>
      <c r="K54" s="4">
        <v>-31.0</v>
      </c>
      <c r="L54" s="5">
        <f t="shared" si="2"/>
        <v>1023.9</v>
      </c>
      <c r="M54" s="5">
        <f t="shared" ref="M54:N54" si="61">H54 - G54</f>
        <v>500012</v>
      </c>
      <c r="N54" s="5">
        <f t="shared" si="61"/>
        <v>1820</v>
      </c>
      <c r="O54" s="5">
        <f t="shared" si="4"/>
        <v>0.0005999856003</v>
      </c>
      <c r="P54" s="5">
        <f t="shared" si="5"/>
        <v>1.091973793</v>
      </c>
      <c r="Q54" s="5">
        <f t="shared" si="6"/>
        <v>1022.808026</v>
      </c>
      <c r="S54" s="5">
        <f t="shared" si="7"/>
        <v>498192</v>
      </c>
      <c r="U54" s="5">
        <f t="shared" si="8"/>
        <v>129587559146</v>
      </c>
      <c r="V54" s="5">
        <f t="shared" si="9"/>
        <v>359982.7206</v>
      </c>
      <c r="W54" s="5">
        <f t="shared" si="10"/>
        <v>368193215.9</v>
      </c>
    </row>
    <row r="55" ht="12.75" customHeight="1">
      <c r="A55" s="4" t="s">
        <v>20</v>
      </c>
      <c r="B55" s="4">
        <v>13.0</v>
      </c>
      <c r="C55" s="4" t="s">
        <v>21</v>
      </c>
      <c r="D55" s="4" t="s">
        <v>22</v>
      </c>
      <c r="E55" s="4">
        <v>12.0</v>
      </c>
      <c r="F55" s="4">
        <v>300.0</v>
      </c>
      <c r="G55" s="8">
        <v>9.9219875E7</v>
      </c>
      <c r="H55" s="8">
        <v>9.9619814E7</v>
      </c>
      <c r="I55" s="8">
        <v>9.9622368E7</v>
      </c>
      <c r="J55" s="8">
        <v>831.95</v>
      </c>
      <c r="K55" s="4">
        <v>81.0</v>
      </c>
      <c r="L55" s="5">
        <f t="shared" si="2"/>
        <v>912.95</v>
      </c>
      <c r="M55" s="5">
        <f t="shared" ref="M55:N55" si="62">H55 - G55</f>
        <v>399939</v>
      </c>
      <c r="N55" s="5">
        <f t="shared" si="62"/>
        <v>2554</v>
      </c>
      <c r="O55" s="5">
        <f t="shared" si="4"/>
        <v>0.0007501143924</v>
      </c>
      <c r="P55" s="5">
        <f t="shared" si="5"/>
        <v>1.915792158</v>
      </c>
      <c r="Q55" s="5">
        <f t="shared" si="6"/>
        <v>911.0342078</v>
      </c>
      <c r="S55" s="5">
        <f t="shared" si="7"/>
        <v>397385</v>
      </c>
      <c r="U55" s="5">
        <f t="shared" si="8"/>
        <v>316599331419</v>
      </c>
      <c r="V55" s="5">
        <f t="shared" si="9"/>
        <v>562671.6018</v>
      </c>
      <c r="W55" s="5">
        <f t="shared" si="10"/>
        <v>512613077</v>
      </c>
    </row>
    <row r="56" ht="12.75" customHeight="1">
      <c r="A56" s="4" t="s">
        <v>20</v>
      </c>
      <c r="B56" s="4">
        <v>13.0</v>
      </c>
      <c r="C56" s="4" t="s">
        <v>21</v>
      </c>
      <c r="D56" s="4" t="s">
        <v>22</v>
      </c>
      <c r="E56" s="4">
        <v>12.0</v>
      </c>
      <c r="F56" s="4">
        <v>300.0</v>
      </c>
      <c r="G56" s="8">
        <v>6.21564733E8</v>
      </c>
      <c r="H56" s="8">
        <v>6.22064778E8</v>
      </c>
      <c r="I56" s="8">
        <v>6.22066587E8</v>
      </c>
      <c r="J56" s="8">
        <v>841.95</v>
      </c>
      <c r="K56" s="4">
        <v>81.0</v>
      </c>
      <c r="L56" s="5">
        <f t="shared" si="2"/>
        <v>922.95</v>
      </c>
      <c r="M56" s="5">
        <f t="shared" ref="M56:N56" si="63">H56 - G56</f>
        <v>500045</v>
      </c>
      <c r="N56" s="5">
        <f t="shared" si="63"/>
        <v>1809</v>
      </c>
      <c r="O56" s="5">
        <f t="shared" si="4"/>
        <v>0.0005999460049</v>
      </c>
      <c r="P56" s="5">
        <f t="shared" si="5"/>
        <v>1.085302323</v>
      </c>
      <c r="Q56" s="5">
        <f t="shared" si="6"/>
        <v>921.8646977</v>
      </c>
      <c r="S56" s="5">
        <f t="shared" si="7"/>
        <v>498236</v>
      </c>
      <c r="U56" s="5">
        <f t="shared" si="8"/>
        <v>129553354496</v>
      </c>
      <c r="V56" s="5">
        <f t="shared" si="9"/>
        <v>359935.2087</v>
      </c>
      <c r="W56" s="5">
        <f t="shared" si="10"/>
        <v>331811562.4</v>
      </c>
    </row>
    <row r="57" ht="12.75" customHeight="1">
      <c r="A57" s="4" t="s">
        <v>20</v>
      </c>
      <c r="B57" s="4">
        <v>13.0</v>
      </c>
      <c r="C57" s="4" t="s">
        <v>21</v>
      </c>
      <c r="D57" s="4" t="s">
        <v>22</v>
      </c>
      <c r="E57" s="4">
        <v>12.0</v>
      </c>
      <c r="F57" s="4">
        <v>300.0</v>
      </c>
      <c r="G57" s="8">
        <v>6.83570102E8</v>
      </c>
      <c r="H57" s="8">
        <v>6.84070103E8</v>
      </c>
      <c r="I57" s="8">
        <v>6.84071931E8</v>
      </c>
      <c r="J57" s="8">
        <v>839.45</v>
      </c>
      <c r="K57" s="4">
        <v>81.0</v>
      </c>
      <c r="L57" s="5">
        <f t="shared" si="2"/>
        <v>920.45</v>
      </c>
      <c r="M57" s="5">
        <f t="shared" ref="M57:N57" si="64">H57 - G57</f>
        <v>500001</v>
      </c>
      <c r="N57" s="5">
        <f t="shared" si="64"/>
        <v>1828</v>
      </c>
      <c r="O57" s="5">
        <f t="shared" si="4"/>
        <v>0.0005999988</v>
      </c>
      <c r="P57" s="5">
        <f t="shared" si="5"/>
        <v>1.096797806</v>
      </c>
      <c r="Q57" s="5">
        <f t="shared" si="6"/>
        <v>919.3532022</v>
      </c>
      <c r="S57" s="5">
        <f t="shared" si="7"/>
        <v>498173</v>
      </c>
      <c r="U57" s="5">
        <f t="shared" si="8"/>
        <v>129598963205</v>
      </c>
      <c r="V57" s="5">
        <f t="shared" si="9"/>
        <v>359998.56</v>
      </c>
      <c r="W57" s="5">
        <f t="shared" si="10"/>
        <v>330965828.9</v>
      </c>
    </row>
    <row r="58" ht="12.75" customHeight="1">
      <c r="A58" s="4" t="s">
        <v>20</v>
      </c>
      <c r="B58" s="4">
        <v>13.0</v>
      </c>
      <c r="C58" s="4" t="s">
        <v>21</v>
      </c>
      <c r="D58" s="4" t="s">
        <v>22</v>
      </c>
      <c r="E58" s="4">
        <v>12.0</v>
      </c>
      <c r="F58" s="4">
        <v>300.0</v>
      </c>
      <c r="G58" s="8">
        <v>7.76878037E8</v>
      </c>
      <c r="H58" s="8">
        <v>7.7727814E8</v>
      </c>
      <c r="I58" s="8">
        <v>7.77279976E8</v>
      </c>
      <c r="J58" s="8">
        <v>824.25</v>
      </c>
      <c r="K58" s="4">
        <v>81.0</v>
      </c>
      <c r="L58" s="5">
        <f t="shared" si="2"/>
        <v>905.25</v>
      </c>
      <c r="M58" s="5">
        <f t="shared" ref="M58:N58" si="65">H58 - G58</f>
        <v>400103</v>
      </c>
      <c r="N58" s="5">
        <f t="shared" si="65"/>
        <v>1836</v>
      </c>
      <c r="O58" s="5">
        <f t="shared" si="4"/>
        <v>0.0007498069247</v>
      </c>
      <c r="P58" s="5">
        <f t="shared" si="5"/>
        <v>1.376645514</v>
      </c>
      <c r="Q58" s="5">
        <f t="shared" si="6"/>
        <v>903.8733545</v>
      </c>
      <c r="S58" s="5">
        <f t="shared" si="7"/>
        <v>398267</v>
      </c>
      <c r="U58" s="5">
        <f t="shared" si="8"/>
        <v>316080561252</v>
      </c>
      <c r="V58" s="5">
        <f t="shared" si="9"/>
        <v>562210.4244</v>
      </c>
      <c r="W58" s="5">
        <f t="shared" si="10"/>
        <v>508167022.2</v>
      </c>
    </row>
    <row r="59" ht="12.75" customHeight="1">
      <c r="A59" s="4" t="s">
        <v>20</v>
      </c>
      <c r="B59" s="4">
        <v>13.0</v>
      </c>
      <c r="C59" s="4" t="s">
        <v>21</v>
      </c>
      <c r="D59" s="4" t="s">
        <v>22</v>
      </c>
      <c r="E59" s="4">
        <v>12.0</v>
      </c>
      <c r="F59" s="4">
        <v>300.0</v>
      </c>
      <c r="G59" s="8">
        <v>8.72686325E8</v>
      </c>
      <c r="H59" s="8">
        <v>8.73086232E8</v>
      </c>
      <c r="I59" s="8">
        <v>8.73088053E8</v>
      </c>
      <c r="J59" s="8">
        <v>831.95</v>
      </c>
      <c r="K59" s="4">
        <v>81.0</v>
      </c>
      <c r="L59" s="5">
        <f t="shared" si="2"/>
        <v>912.95</v>
      </c>
      <c r="M59" s="5">
        <f t="shared" ref="M59:N59" si="66">H59 - G59</f>
        <v>399907</v>
      </c>
      <c r="N59" s="5">
        <f t="shared" si="66"/>
        <v>1821</v>
      </c>
      <c r="O59" s="5">
        <f t="shared" si="4"/>
        <v>0.0007501744156</v>
      </c>
      <c r="P59" s="5">
        <f t="shared" si="5"/>
        <v>1.366067611</v>
      </c>
      <c r="Q59" s="5">
        <f t="shared" si="6"/>
        <v>911.5839324</v>
      </c>
      <c r="S59" s="5">
        <f t="shared" si="7"/>
        <v>398086</v>
      </c>
      <c r="U59" s="5">
        <f t="shared" si="8"/>
        <v>316700678929</v>
      </c>
      <c r="V59" s="5">
        <f t="shared" si="9"/>
        <v>562761.6537</v>
      </c>
      <c r="W59" s="5">
        <f t="shared" si="10"/>
        <v>513004481.3</v>
      </c>
    </row>
    <row r="60" ht="12.75" customHeight="1">
      <c r="G60" s="8"/>
      <c r="H60" s="8"/>
      <c r="I60" s="8"/>
      <c r="J60" s="8"/>
    </row>
    <row r="61" ht="12.75" customHeight="1">
      <c r="G61" s="8"/>
      <c r="H61" s="8"/>
      <c r="I61" s="8"/>
      <c r="J61" s="8"/>
    </row>
    <row r="62" ht="12.75" customHeight="1">
      <c r="G62" s="8"/>
      <c r="H62" s="8"/>
      <c r="I62" s="8"/>
      <c r="J62" s="8"/>
    </row>
    <row r="63" ht="12.75" customHeight="1">
      <c r="G63" s="8"/>
      <c r="H63" s="8"/>
      <c r="I63" s="8"/>
      <c r="J63" s="8"/>
    </row>
    <row r="64" ht="12.75" customHeight="1">
      <c r="G64" s="8"/>
      <c r="H64" s="8"/>
      <c r="I64" s="8"/>
      <c r="J64" s="8"/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autoFilter ref="$B$1:$B$998"/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6" width="18.75"/>
  </cols>
  <sheetData>
    <row r="1">
      <c r="A1" s="1" t="s">
        <v>0</v>
      </c>
      <c r="B1" s="1" t="s">
        <v>1</v>
      </c>
      <c r="C1" s="1" t="s">
        <v>4</v>
      </c>
      <c r="D1" s="1" t="s">
        <v>24</v>
      </c>
      <c r="E1" s="1" t="s">
        <v>25</v>
      </c>
      <c r="F1" s="1" t="s">
        <v>26</v>
      </c>
    </row>
    <row r="2">
      <c r="A2" s="4" t="s">
        <v>20</v>
      </c>
      <c r="B2" s="4">
        <v>13.0</v>
      </c>
      <c r="C2" s="6">
        <v>8.0</v>
      </c>
      <c r="D2" s="9">
        <f>SUM('Raw Data'!U21:U25)</f>
        <v>32778971916</v>
      </c>
      <c r="E2" s="9">
        <f>SUM('Raw Data'!W21:W25)</f>
        <v>121748693.4</v>
      </c>
      <c r="F2" s="4">
        <f t="shared" ref="F2:F13" si="1"> D2 / (2 * E2)</f>
        <v>134.6173458</v>
      </c>
    </row>
    <row r="3">
      <c r="A3" s="4" t="s">
        <v>20</v>
      </c>
      <c r="B3" s="4">
        <v>14.0</v>
      </c>
      <c r="C3" s="6">
        <v>8.0</v>
      </c>
      <c r="D3" s="9">
        <f>SUM('Raw Data'!U16:U20)</f>
        <v>40483448875</v>
      </c>
      <c r="E3" s="9">
        <f>SUM('Raw Data'!W16:W20)</f>
        <v>139397153.5</v>
      </c>
      <c r="F3" s="4">
        <f t="shared" si="1"/>
        <v>145.2090228</v>
      </c>
    </row>
    <row r="4">
      <c r="A4" s="4" t="s">
        <v>20</v>
      </c>
      <c r="B4" s="4">
        <v>15.0</v>
      </c>
      <c r="C4" s="6">
        <v>8.0</v>
      </c>
      <c r="D4" s="9">
        <f>SUM('Raw Data'!U11:U15)</f>
        <v>40477716930</v>
      </c>
      <c r="E4" s="9">
        <f>SUM('Raw Data'!W11:W15)</f>
        <v>140245323.1</v>
      </c>
      <c r="F4" s="4">
        <f t="shared" si="1"/>
        <v>144.3103986</v>
      </c>
    </row>
    <row r="5">
      <c r="A5" s="4" t="s">
        <v>20</v>
      </c>
      <c r="B5" s="4">
        <v>17.0</v>
      </c>
      <c r="C5" s="6">
        <v>8.0</v>
      </c>
      <c r="D5" s="9">
        <f>SUM('Raw Data'!U7:U10)</f>
        <v>29824361469</v>
      </c>
      <c r="E5" s="9">
        <f>SUM('Raw Data'!W7:W10)</f>
        <v>106087050.4</v>
      </c>
      <c r="F5" s="4">
        <f t="shared" si="1"/>
        <v>140.5655136</v>
      </c>
    </row>
    <row r="6">
      <c r="A6" s="4" t="s">
        <v>20</v>
      </c>
      <c r="B6" s="4">
        <v>18.0</v>
      </c>
      <c r="C6" s="6">
        <v>8.0</v>
      </c>
      <c r="D6" s="9">
        <f>SUM('Raw Data'!U2:U6)</f>
        <v>48975854625</v>
      </c>
      <c r="E6" s="9">
        <f>SUM('Raw Data'!W2:W6)</f>
        <v>158358282.4</v>
      </c>
      <c r="F6" s="4">
        <f t="shared" si="1"/>
        <v>154.636227</v>
      </c>
    </row>
    <row r="7">
      <c r="A7" s="4" t="s">
        <v>23</v>
      </c>
      <c r="B7" s="4">
        <v>13.0</v>
      </c>
      <c r="C7" s="6">
        <v>8.0</v>
      </c>
      <c r="D7" s="9">
        <f>SUM('Raw Data'!U41:U44)</f>
        <v>32378464159</v>
      </c>
      <c r="E7" s="9">
        <f>SUM('Raw Data'!W41:W44)</f>
        <v>102187318.8</v>
      </c>
      <c r="F7" s="4">
        <f t="shared" si="1"/>
        <v>158.4270168</v>
      </c>
    </row>
    <row r="8">
      <c r="A8" s="4" t="s">
        <v>23</v>
      </c>
      <c r="B8" s="4">
        <v>14.0</v>
      </c>
      <c r="C8" s="6">
        <v>8.0</v>
      </c>
      <c r="D8" s="9">
        <f>SUM('Raw Data'!U36:U40)</f>
        <v>44729184605</v>
      </c>
      <c r="E8" s="9">
        <f>SUM('Raw Data'!W36:W40)</f>
        <v>143403186.4</v>
      </c>
      <c r="F8" s="4">
        <f t="shared" si="1"/>
        <v>155.9560346</v>
      </c>
    </row>
    <row r="9">
      <c r="A9" s="4" t="s">
        <v>23</v>
      </c>
      <c r="B9" s="4">
        <v>15.0</v>
      </c>
      <c r="C9" s="6">
        <v>8.0</v>
      </c>
      <c r="D9" s="9">
        <f>SUM('Raw Data'!U31:U35)</f>
        <v>48981390317</v>
      </c>
      <c r="E9" s="9">
        <f>SUM('Raw Data'!W31:W35)</f>
        <v>146395820.9</v>
      </c>
      <c r="F9" s="4">
        <f t="shared" si="1"/>
        <v>167.2909446</v>
      </c>
    </row>
    <row r="10">
      <c r="A10" s="4" t="s">
        <v>23</v>
      </c>
      <c r="B10" s="4">
        <v>17.0</v>
      </c>
      <c r="C10" s="6">
        <v>8.0</v>
      </c>
      <c r="D10" s="9">
        <f>SUM('Raw Data'!U26:U30)</f>
        <v>48967116936</v>
      </c>
      <c r="E10" s="9">
        <f>SUM('Raw Data'!W26:W30)</f>
        <v>147747799.2</v>
      </c>
      <c r="F10" s="4">
        <f t="shared" si="1"/>
        <v>165.7118319</v>
      </c>
    </row>
    <row r="11">
      <c r="A11" s="4" t="s">
        <v>23</v>
      </c>
      <c r="B11" s="4">
        <v>18.0</v>
      </c>
      <c r="C11" s="6">
        <v>8.0</v>
      </c>
      <c r="D11" s="9">
        <f>SUM('Raw Data'!U46:U49)</f>
        <v>36623734193</v>
      </c>
      <c r="E11" s="9">
        <f>SUM('Raw Data'!W46:W49)</f>
        <v>119332594.1</v>
      </c>
      <c r="F11" s="4">
        <f t="shared" si="1"/>
        <v>153.4523509</v>
      </c>
    </row>
    <row r="12">
      <c r="A12" s="4" t="s">
        <v>23</v>
      </c>
      <c r="C12" s="4">
        <v>12.0</v>
      </c>
      <c r="D12" s="5">
        <f>SUM('Raw Data'!U51:U53)</f>
        <v>948627441820</v>
      </c>
      <c r="E12" s="5">
        <f>SUM('Raw Data'!W51:W53)</f>
        <v>1678254662</v>
      </c>
      <c r="F12" s="4">
        <f t="shared" si="1"/>
        <v>282.6232106</v>
      </c>
    </row>
    <row r="13">
      <c r="A13" s="4" t="s">
        <v>20</v>
      </c>
      <c r="C13" s="4">
        <v>12.0</v>
      </c>
      <c r="D13" s="5">
        <f>SUM('Raw Data'!U55:U59)</f>
        <v>1208532889301</v>
      </c>
      <c r="E13" s="5">
        <f>SUM('Raw Data'!W55:W59)</f>
        <v>2196561972</v>
      </c>
      <c r="F13" s="4">
        <f t="shared" si="1"/>
        <v>275.09647</v>
      </c>
    </row>
    <row r="15">
      <c r="C15" s="9"/>
      <c r="D15" s="9"/>
      <c r="E15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2026-03-03T01:39:30Z</dcterms:created>
</cp:coreProperties>
</file>