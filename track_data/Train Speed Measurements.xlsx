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eds" sheetId="1" r:id="rId5"/>
    <sheet state="visible" name="Raw Data" sheetId="2" r:id="rId6"/>
  </sheets>
  <definedNames/>
  <calcPr/>
</workbook>
</file>

<file path=xl/sharedStrings.xml><?xml version="1.0" encoding="utf-8"?>
<sst xmlns="http://schemas.openxmlformats.org/spreadsheetml/2006/main" count="47" uniqueCount="10">
  <si>
    <t>Track</t>
  </si>
  <si>
    <t>Train</t>
  </si>
  <si>
    <t>Speed Step</t>
  </si>
  <si>
    <t>velocity (mm/s)</t>
  </si>
  <si>
    <t>A</t>
  </si>
  <si>
    <t>B</t>
  </si>
  <si>
    <t>Start Time (us)</t>
  </si>
  <si>
    <t>End Time (us)</t>
  </si>
  <si>
    <t>Time Difference (us)</t>
  </si>
  <si>
    <t>Time Difference 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</si>
</sst>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13.0</v>
      </c>
      <c r="C2" s="2">
        <v>8.0</v>
      </c>
      <c r="D2" s="2">
        <v>227.0</v>
      </c>
    </row>
    <row r="3">
      <c r="A3" s="2" t="s">
        <v>4</v>
      </c>
      <c r="B3" s="2">
        <v>15.0</v>
      </c>
      <c r="C3" s="2">
        <v>8.0</v>
      </c>
      <c r="D3" s="2">
        <v>232.0</v>
      </c>
    </row>
    <row r="4">
      <c r="A4" s="2" t="s">
        <v>4</v>
      </c>
      <c r="B4" s="2">
        <v>18.0</v>
      </c>
      <c r="C4" s="2">
        <v>8.0</v>
      </c>
      <c r="D4" s="2">
        <v>242.0</v>
      </c>
    </row>
    <row r="5">
      <c r="A5" s="2" t="s">
        <v>4</v>
      </c>
      <c r="B5" s="2">
        <v>17.0</v>
      </c>
      <c r="C5" s="2">
        <v>8.0</v>
      </c>
      <c r="D5" s="2">
        <v>229.0</v>
      </c>
    </row>
    <row r="6">
      <c r="A6" s="2" t="s">
        <v>4</v>
      </c>
      <c r="B6" s="2">
        <v>14.0</v>
      </c>
      <c r="C6" s="2">
        <v>8.0</v>
      </c>
      <c r="D6" s="2">
        <v>230.0</v>
      </c>
    </row>
    <row r="7">
      <c r="A7" s="2" t="s">
        <v>5</v>
      </c>
      <c r="B7" s="2">
        <v>13.0</v>
      </c>
      <c r="C7" s="2">
        <v>8.0</v>
      </c>
      <c r="D7" s="3">
        <f> 780 / AVERAGE('Raw Data'!G18:G22)</f>
        <v>216.6483117</v>
      </c>
    </row>
    <row r="8">
      <c r="A8" s="2" t="s">
        <v>5</v>
      </c>
      <c r="B8" s="2">
        <v>14.0</v>
      </c>
      <c r="C8" s="2">
        <v>8.0</v>
      </c>
      <c r="D8" s="3">
        <f> 780 / AVERAGE('Raw Data'!G19:G23)</f>
        <v>217.8578529</v>
      </c>
    </row>
    <row r="9">
      <c r="A9" s="2" t="s">
        <v>5</v>
      </c>
      <c r="B9" s="2">
        <v>15.0</v>
      </c>
      <c r="C9" s="2">
        <v>8.0</v>
      </c>
      <c r="D9" s="3">
        <f> 780 / AVERAGE('Raw Data'!G20:G24)</f>
        <v>219.0812955</v>
      </c>
    </row>
    <row r="10">
      <c r="A10" s="2" t="s">
        <v>5</v>
      </c>
      <c r="B10" s="2">
        <v>17.0</v>
      </c>
      <c r="C10" s="2">
        <v>8.0</v>
      </c>
      <c r="D10" s="3">
        <f> 780 / AVERAGE('Raw Data'!G21:G25)</f>
        <v>220.320623</v>
      </c>
    </row>
    <row r="11">
      <c r="A11" s="2" t="s">
        <v>5</v>
      </c>
      <c r="B11" s="2">
        <v>18.0</v>
      </c>
      <c r="C11" s="2">
        <v>8.0</v>
      </c>
      <c r="D11" s="3">
        <f> 780 / AVERAGE('Raw Data'!G22:G26)</f>
        <v>222.8394558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63"/>
    <col customWidth="1" min="5" max="5" width="12.0"/>
    <col customWidth="1" min="6" max="6" width="17.0"/>
    <col customWidth="1" min="7" max="7" width="16.0"/>
  </cols>
  <sheetData>
    <row r="1">
      <c r="A1" s="1" t="s">
        <v>0</v>
      </c>
      <c r="B1" s="1" t="s">
        <v>1</v>
      </c>
      <c r="C1" s="1" t="s">
        <v>2</v>
      </c>
      <c r="D1" s="4" t="s">
        <v>6</v>
      </c>
      <c r="E1" s="4" t="s">
        <v>7</v>
      </c>
      <c r="F1" s="4" t="s">
        <v>8</v>
      </c>
      <c r="G1" s="4" t="s">
        <v>9</v>
      </c>
    </row>
    <row r="2">
      <c r="A2" s="2" t="s">
        <v>5</v>
      </c>
      <c r="B2" s="5">
        <v>15.0</v>
      </c>
      <c r="C2" s="6">
        <v>8.0</v>
      </c>
      <c r="D2" s="5">
        <v>4.3475829E7</v>
      </c>
      <c r="E2" s="5">
        <v>4.6876143E7</v>
      </c>
      <c r="F2" s="7">
        <f t="shared" ref="F2:F27" si="1"> E2 - D2</f>
        <v>3400314</v>
      </c>
      <c r="G2" s="7">
        <f t="shared" ref="G2:G27" si="2">F2 / 1000000</f>
        <v>3.400314</v>
      </c>
    </row>
    <row r="3">
      <c r="A3" s="2" t="s">
        <v>5</v>
      </c>
      <c r="B3" s="5">
        <v>15.0</v>
      </c>
      <c r="C3" s="6">
        <v>8.0</v>
      </c>
      <c r="D3" s="5">
        <v>6.4477768E7</v>
      </c>
      <c r="E3" s="5">
        <v>6.7978007E7</v>
      </c>
      <c r="F3" s="7">
        <f t="shared" si="1"/>
        <v>3500239</v>
      </c>
      <c r="G3" s="7">
        <f t="shared" si="2"/>
        <v>3.500239</v>
      </c>
    </row>
    <row r="4">
      <c r="A4" s="2" t="s">
        <v>5</v>
      </c>
      <c r="B4" s="5">
        <v>15.0</v>
      </c>
      <c r="C4" s="6">
        <v>8.0</v>
      </c>
      <c r="D4" s="5">
        <v>8.5579558E7</v>
      </c>
      <c r="E4" s="5">
        <v>8.9079834E7</v>
      </c>
      <c r="F4" s="7">
        <f t="shared" si="1"/>
        <v>3500276</v>
      </c>
      <c r="G4" s="7">
        <f t="shared" si="2"/>
        <v>3.500276</v>
      </c>
    </row>
    <row r="5">
      <c r="A5" s="2" t="s">
        <v>5</v>
      </c>
      <c r="B5" s="5">
        <v>15.0</v>
      </c>
      <c r="C5" s="6">
        <v>8.0</v>
      </c>
      <c r="D5" s="5">
        <v>1.06681411E8</v>
      </c>
      <c r="E5" s="5">
        <v>1.10081748E8</v>
      </c>
      <c r="F5" s="7">
        <f t="shared" si="1"/>
        <v>3400337</v>
      </c>
      <c r="G5" s="7">
        <f t="shared" si="2"/>
        <v>3.400337</v>
      </c>
    </row>
    <row r="6">
      <c r="A6" s="2" t="s">
        <v>5</v>
      </c>
      <c r="B6" s="5">
        <v>15.0</v>
      </c>
      <c r="C6" s="6">
        <v>8.0</v>
      </c>
      <c r="D6" s="5">
        <v>1.27683225E8</v>
      </c>
      <c r="E6" s="5">
        <v>1.31183491E8</v>
      </c>
      <c r="F6" s="7">
        <f t="shared" si="1"/>
        <v>3500266</v>
      </c>
      <c r="G6" s="7">
        <f t="shared" si="2"/>
        <v>3.500266</v>
      </c>
    </row>
    <row r="7">
      <c r="A7" s="2" t="s">
        <v>5</v>
      </c>
      <c r="B7" s="5">
        <v>15.0</v>
      </c>
      <c r="C7" s="6">
        <v>8.0</v>
      </c>
      <c r="D7" s="5">
        <v>1.48785122E8</v>
      </c>
      <c r="E7" s="5">
        <v>1.52185322E8</v>
      </c>
      <c r="F7" s="7">
        <f t="shared" si="1"/>
        <v>3400200</v>
      </c>
      <c r="G7" s="7">
        <f t="shared" si="2"/>
        <v>3.4002</v>
      </c>
    </row>
    <row r="8">
      <c r="A8" s="2" t="s">
        <v>5</v>
      </c>
      <c r="B8" s="7">
        <v>18.0</v>
      </c>
      <c r="C8" s="6">
        <v>8.0</v>
      </c>
      <c r="D8" s="7">
        <v>9.8845146E7</v>
      </c>
      <c r="E8" s="7">
        <v>1.02145505E8</v>
      </c>
      <c r="F8" s="7">
        <f t="shared" si="1"/>
        <v>3300359</v>
      </c>
      <c r="G8" s="7">
        <f t="shared" si="2"/>
        <v>3.300359</v>
      </c>
    </row>
    <row r="9">
      <c r="A9" s="2" t="s">
        <v>5</v>
      </c>
      <c r="B9" s="7">
        <v>18.0</v>
      </c>
      <c r="C9" s="6">
        <v>8.0</v>
      </c>
      <c r="D9" s="7">
        <v>1.18646876E8</v>
      </c>
      <c r="E9" s="7">
        <v>1.21947173E8</v>
      </c>
      <c r="F9" s="7">
        <f t="shared" si="1"/>
        <v>3300297</v>
      </c>
      <c r="G9" s="7">
        <f t="shared" si="2"/>
        <v>3.300297</v>
      </c>
    </row>
    <row r="10">
      <c r="A10" s="2" t="s">
        <v>5</v>
      </c>
      <c r="B10" s="7">
        <v>18.0</v>
      </c>
      <c r="C10" s="6">
        <v>8.0</v>
      </c>
      <c r="D10" s="7">
        <v>1.38448512E8</v>
      </c>
      <c r="E10" s="7">
        <v>1.41748888E8</v>
      </c>
      <c r="F10" s="7">
        <f t="shared" si="1"/>
        <v>3300376</v>
      </c>
      <c r="G10" s="7">
        <f t="shared" si="2"/>
        <v>3.300376</v>
      </c>
    </row>
    <row r="11">
      <c r="A11" s="2" t="s">
        <v>5</v>
      </c>
      <c r="B11" s="7">
        <v>18.0</v>
      </c>
      <c r="C11" s="6">
        <v>8.0</v>
      </c>
      <c r="D11" s="7">
        <v>1.58150296E8</v>
      </c>
      <c r="E11" s="7">
        <v>1.6145067E8</v>
      </c>
      <c r="F11" s="7">
        <f t="shared" si="1"/>
        <v>3300374</v>
      </c>
      <c r="G11" s="7">
        <f t="shared" si="2"/>
        <v>3.300374</v>
      </c>
    </row>
    <row r="12">
      <c r="A12" s="2" t="s">
        <v>5</v>
      </c>
      <c r="B12" s="7">
        <v>18.0</v>
      </c>
      <c r="C12" s="6">
        <v>8.0</v>
      </c>
      <c r="D12" s="7">
        <v>1.77852002E8</v>
      </c>
      <c r="E12" s="7">
        <v>1.8115236E8</v>
      </c>
      <c r="F12" s="7">
        <f t="shared" si="1"/>
        <v>3300358</v>
      </c>
      <c r="G12" s="7">
        <f t="shared" si="2"/>
        <v>3.300358</v>
      </c>
    </row>
    <row r="13">
      <c r="A13" s="2" t="s">
        <v>5</v>
      </c>
      <c r="B13" s="7">
        <v>17.0</v>
      </c>
      <c r="C13" s="6">
        <v>8.0</v>
      </c>
      <c r="D13" s="7">
        <v>3.344829E7</v>
      </c>
      <c r="E13" s="7">
        <v>3.6948627E7</v>
      </c>
      <c r="F13" s="7">
        <f t="shared" si="1"/>
        <v>3500337</v>
      </c>
      <c r="G13" s="7">
        <f t="shared" si="2"/>
        <v>3.500337</v>
      </c>
    </row>
    <row r="14">
      <c r="A14" s="2" t="s">
        <v>5</v>
      </c>
      <c r="B14" s="7">
        <v>17.0</v>
      </c>
      <c r="C14" s="6">
        <v>8.0</v>
      </c>
      <c r="D14" s="7">
        <v>5.4350125E7</v>
      </c>
      <c r="E14" s="7">
        <v>5.7850409E7</v>
      </c>
      <c r="F14" s="7">
        <f t="shared" si="1"/>
        <v>3500284</v>
      </c>
      <c r="G14" s="7">
        <f t="shared" si="2"/>
        <v>3.500284</v>
      </c>
    </row>
    <row r="15">
      <c r="A15" s="2" t="s">
        <v>5</v>
      </c>
      <c r="B15" s="7">
        <v>17.0</v>
      </c>
      <c r="C15" s="6">
        <v>8.0</v>
      </c>
      <c r="D15" s="7">
        <v>7.5151954E7</v>
      </c>
      <c r="E15" s="7">
        <v>7.8652239E7</v>
      </c>
      <c r="F15" s="7">
        <f t="shared" si="1"/>
        <v>3500285</v>
      </c>
      <c r="G15" s="7">
        <f t="shared" si="2"/>
        <v>3.500285</v>
      </c>
    </row>
    <row r="16">
      <c r="A16" s="2" t="s">
        <v>5</v>
      </c>
      <c r="B16" s="7">
        <v>17.0</v>
      </c>
      <c r="C16" s="6">
        <v>8.0</v>
      </c>
      <c r="D16" s="7">
        <v>9.6053751E7</v>
      </c>
      <c r="E16" s="7">
        <v>9.9554077E7</v>
      </c>
      <c r="F16" s="7">
        <f t="shared" si="1"/>
        <v>3500326</v>
      </c>
      <c r="G16" s="7">
        <f t="shared" si="2"/>
        <v>3.500326</v>
      </c>
    </row>
    <row r="17">
      <c r="A17" s="2" t="s">
        <v>5</v>
      </c>
      <c r="B17" s="7">
        <v>17.0</v>
      </c>
      <c r="C17" s="6">
        <v>8.0</v>
      </c>
      <c r="D17" s="7">
        <v>1.16855596E8</v>
      </c>
      <c r="E17" s="7">
        <v>1.20355882E8</v>
      </c>
      <c r="F17" s="7">
        <f t="shared" si="1"/>
        <v>3500286</v>
      </c>
      <c r="G17" s="7">
        <f t="shared" si="2"/>
        <v>3.500286</v>
      </c>
    </row>
    <row r="18">
      <c r="A18" s="2" t="s">
        <v>5</v>
      </c>
      <c r="B18" s="7">
        <v>13.0</v>
      </c>
      <c r="C18" s="6">
        <v>8.0</v>
      </c>
      <c r="D18" s="7">
        <v>3.5169057E7</v>
      </c>
      <c r="E18" s="7">
        <v>3.8769247E7</v>
      </c>
      <c r="F18" s="7">
        <f t="shared" si="1"/>
        <v>3600190</v>
      </c>
      <c r="G18" s="7">
        <f t="shared" si="2"/>
        <v>3.60019</v>
      </c>
    </row>
    <row r="19">
      <c r="A19" s="2" t="s">
        <v>5</v>
      </c>
      <c r="B19" s="7">
        <v>13.0</v>
      </c>
      <c r="C19" s="6">
        <v>8.0</v>
      </c>
      <c r="D19" s="7">
        <v>5.67708E7</v>
      </c>
      <c r="E19" s="7">
        <v>6.0371163E7</v>
      </c>
      <c r="F19" s="7">
        <f t="shared" si="1"/>
        <v>3600363</v>
      </c>
      <c r="G19" s="7">
        <f t="shared" si="2"/>
        <v>3.600363</v>
      </c>
    </row>
    <row r="20">
      <c r="A20" s="2" t="s">
        <v>5</v>
      </c>
      <c r="B20" s="7">
        <v>13.0</v>
      </c>
      <c r="C20" s="6">
        <v>8.0</v>
      </c>
      <c r="D20" s="7">
        <v>7.8372665E7</v>
      </c>
      <c r="E20" s="7">
        <v>8.1973059E7</v>
      </c>
      <c r="F20" s="7">
        <f t="shared" si="1"/>
        <v>3600394</v>
      </c>
      <c r="G20" s="7">
        <f t="shared" si="2"/>
        <v>3.600394</v>
      </c>
    </row>
    <row r="21">
      <c r="A21" s="2" t="s">
        <v>5</v>
      </c>
      <c r="B21" s="7">
        <v>13.0</v>
      </c>
      <c r="C21" s="6">
        <v>8.0</v>
      </c>
      <c r="D21" s="7">
        <v>9.9874721E7</v>
      </c>
      <c r="E21" s="7">
        <v>1.03475027E8</v>
      </c>
      <c r="F21" s="7">
        <f t="shared" si="1"/>
        <v>3600306</v>
      </c>
      <c r="G21" s="7">
        <f t="shared" si="2"/>
        <v>3.600306</v>
      </c>
    </row>
    <row r="22">
      <c r="A22" s="2" t="s">
        <v>5</v>
      </c>
      <c r="B22" s="7">
        <v>13.0</v>
      </c>
      <c r="C22" s="6">
        <v>8.0</v>
      </c>
      <c r="D22" s="7">
        <v>1.21376553E8</v>
      </c>
      <c r="E22" s="7">
        <v>1.24976825E8</v>
      </c>
      <c r="F22" s="7">
        <f t="shared" si="1"/>
        <v>3600272</v>
      </c>
      <c r="G22" s="7">
        <f t="shared" si="2"/>
        <v>3.600272</v>
      </c>
    </row>
    <row r="23">
      <c r="A23" s="2" t="s">
        <v>5</v>
      </c>
      <c r="B23" s="7">
        <v>14.0</v>
      </c>
      <c r="C23" s="6">
        <v>8.0</v>
      </c>
      <c r="D23" s="7">
        <v>3.4274668E7</v>
      </c>
      <c r="E23" s="7">
        <v>3.7774914E7</v>
      </c>
      <c r="F23" s="7">
        <f t="shared" si="1"/>
        <v>3500246</v>
      </c>
      <c r="G23" s="7">
        <f t="shared" si="2"/>
        <v>3.500246</v>
      </c>
    </row>
    <row r="24">
      <c r="A24" s="2" t="s">
        <v>5</v>
      </c>
      <c r="B24" s="7">
        <v>14.0</v>
      </c>
      <c r="C24" s="6">
        <v>8.0</v>
      </c>
      <c r="D24" s="7">
        <v>5.497646E7</v>
      </c>
      <c r="E24" s="7">
        <v>5.8476853E7</v>
      </c>
      <c r="F24" s="7">
        <f t="shared" si="1"/>
        <v>3500393</v>
      </c>
      <c r="G24" s="7">
        <f t="shared" si="2"/>
        <v>3.500393</v>
      </c>
    </row>
    <row r="25">
      <c r="A25" s="2" t="s">
        <v>5</v>
      </c>
      <c r="B25" s="7">
        <v>14.0</v>
      </c>
      <c r="C25" s="6">
        <v>8.0</v>
      </c>
      <c r="D25" s="7">
        <v>7.5678403E7</v>
      </c>
      <c r="E25" s="7">
        <v>7.9178661E7</v>
      </c>
      <c r="F25" s="7">
        <f t="shared" si="1"/>
        <v>3500258</v>
      </c>
      <c r="G25" s="7">
        <f t="shared" si="2"/>
        <v>3.500258</v>
      </c>
    </row>
    <row r="26">
      <c r="A26" s="2" t="s">
        <v>5</v>
      </c>
      <c r="B26" s="7">
        <v>14.0</v>
      </c>
      <c r="C26" s="6">
        <v>8.0</v>
      </c>
      <c r="D26" s="7">
        <v>9.6480169E7</v>
      </c>
      <c r="E26" s="7">
        <v>9.9880389E7</v>
      </c>
      <c r="F26" s="7">
        <f t="shared" si="1"/>
        <v>3400220</v>
      </c>
      <c r="G26" s="7">
        <f t="shared" si="2"/>
        <v>3.40022</v>
      </c>
    </row>
    <row r="27">
      <c r="A27" s="2" t="s">
        <v>5</v>
      </c>
      <c r="B27" s="7">
        <v>14.0</v>
      </c>
      <c r="C27" s="6">
        <v>8.0</v>
      </c>
      <c r="D27" s="7">
        <v>1.17081955E8</v>
      </c>
      <c r="E27" s="7">
        <v>1.20582346E8</v>
      </c>
      <c r="F27" s="7">
        <f t="shared" si="1"/>
        <v>3500391</v>
      </c>
      <c r="G27" s="7">
        <f t="shared" si="2"/>
        <v>3.500391</v>
      </c>
    </row>
  </sheetData>
  <drawing r:id="rId1"/>
</worksheet>
</file>