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Sheet1!$A$1:$P$36</definedName>
  </definedNames>
  <calcPr/>
  <extLst>
    <ext uri="GoogleSheetsCustomDataVersion2">
      <go:sheetsCustomData xmlns:go="http://customooxmlschemas.google.com/" r:id="rId5" roundtripDataChecksum="1Yd6OsLZdTLe4MqKYex2m48YmE7iL+WLJ4IhAqHCU0k="/>
    </ext>
  </extLst>
</workbook>
</file>

<file path=xl/sharedStrings.xml><?xml version="1.0" encoding="utf-8"?>
<sst xmlns="http://schemas.openxmlformats.org/spreadsheetml/2006/main" count="51" uniqueCount="18">
  <si>
    <t>track</t>
  </si>
  <si>
    <t>train no</t>
  </si>
  <si>
    <t>start (us)</t>
  </si>
  <si>
    <t>end (us)</t>
  </si>
  <si>
    <t>diff (us)</t>
  </si>
  <si>
    <t>diff(s)</t>
  </si>
  <si>
    <t>distance (mm)</t>
  </si>
  <si>
    <t>d/t</t>
  </si>
  <si>
    <t>v_1</t>
  </si>
  <si>
    <t>v_2</t>
  </si>
  <si>
    <t>v_a</t>
  </si>
  <si>
    <t>t_2</t>
  </si>
  <si>
    <t>t_1</t>
  </si>
  <si>
    <t>d_1</t>
  </si>
  <si>
    <t>d_2</t>
  </si>
  <si>
    <t>a</t>
  </si>
  <si>
    <t>A</t>
  </si>
  <si>
    <t>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</si>
</sst>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0" xfId="0" applyAlignment="1" applyFont="1">
      <alignment horizontal="right" readingOrder="0" vertical="bottom"/>
    </xf>
    <xf borderId="0" fillId="0" fontId="3" numFmtId="0" xfId="0" applyAlignment="1" applyFont="1">
      <alignment horizontal="right" readingOrder="0" vertical="bottom"/>
    </xf>
    <xf borderId="0" fillId="0" fontId="2" numFmtId="0" xfId="0" applyAlignment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9" width="11.5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12.75" customHeight="1">
      <c r="A2" s="2" t="s">
        <v>16</v>
      </c>
      <c r="B2" s="2">
        <v>13.0</v>
      </c>
      <c r="C2" s="3">
        <v>2.23527051E8</v>
      </c>
      <c r="D2" s="3">
        <v>2.27627403E8</v>
      </c>
      <c r="E2" s="3">
        <f t="shared" ref="E2:E36" si="1"> D2 - C2</f>
        <v>4100352</v>
      </c>
      <c r="F2" s="3">
        <f t="shared" ref="F2:F36" si="2"> E2 / 1000000</f>
        <v>4.100352</v>
      </c>
      <c r="G2" s="2">
        <v>875.1</v>
      </c>
      <c r="H2" s="3">
        <f t="shared" ref="H2:H36" si="3">G2 / F2</f>
        <v>213.4207014</v>
      </c>
      <c r="I2" s="2">
        <v>0.0</v>
      </c>
      <c r="J2" s="2">
        <v>227.0</v>
      </c>
      <c r="K2" s="3">
        <f t="shared" ref="K2:K36" si="4">J2 / 2</f>
        <v>113.5</v>
      </c>
      <c r="L2" s="3">
        <f t="shared" ref="L2:L36" si="5"> (G2 - K2 * F2) / (J2 - K2)</f>
        <v>3.609780159</v>
      </c>
      <c r="M2" s="3">
        <f t="shared" ref="M2:M36" si="6">(J2 * F2 - G2) / (J2 - K2)</f>
        <v>0.4905718414</v>
      </c>
      <c r="N2" s="3">
        <f t="shared" ref="N2:N36" si="7"> (K2 * (J2 * F2 - G2)) / (J2 - K2)</f>
        <v>55.679904</v>
      </c>
      <c r="O2" s="3">
        <f t="shared" ref="O2:O36" si="8"> J2 * (G2 - K2 * F2) / (J2 - K2)</f>
        <v>819.420096</v>
      </c>
      <c r="P2" s="3">
        <f t="shared" ref="P2:P36" si="9"> (J2 - I2) / M2</f>
        <v>462.7252949</v>
      </c>
    </row>
    <row r="3" ht="12.75" customHeight="1">
      <c r="A3" s="2" t="s">
        <v>16</v>
      </c>
      <c r="B3" s="2">
        <v>13.0</v>
      </c>
      <c r="C3" s="3">
        <v>3.0723439E8</v>
      </c>
      <c r="D3" s="3">
        <v>3.11334558E8</v>
      </c>
      <c r="E3" s="3">
        <f t="shared" si="1"/>
        <v>4100168</v>
      </c>
      <c r="F3" s="3">
        <f t="shared" si="2"/>
        <v>4.100168</v>
      </c>
      <c r="G3" s="2">
        <v>875.1</v>
      </c>
      <c r="H3" s="3">
        <f t="shared" si="3"/>
        <v>213.430279</v>
      </c>
      <c r="I3" s="2">
        <v>0.0</v>
      </c>
      <c r="J3" s="2">
        <v>227.0</v>
      </c>
      <c r="K3" s="3">
        <f t="shared" si="4"/>
        <v>113.5</v>
      </c>
      <c r="L3" s="3">
        <f t="shared" si="5"/>
        <v>3.609964159</v>
      </c>
      <c r="M3" s="3">
        <f t="shared" si="6"/>
        <v>0.4902038414</v>
      </c>
      <c r="N3" s="3">
        <f t="shared" si="7"/>
        <v>55.638136</v>
      </c>
      <c r="O3" s="3">
        <f t="shared" si="8"/>
        <v>819.461864</v>
      </c>
      <c r="P3" s="3">
        <f t="shared" si="9"/>
        <v>463.0726666</v>
      </c>
    </row>
    <row r="4" ht="12.75" customHeight="1">
      <c r="A4" s="2" t="s">
        <v>16</v>
      </c>
      <c r="B4" s="2">
        <v>13.0</v>
      </c>
      <c r="C4" s="3">
        <v>3.63339233E8</v>
      </c>
      <c r="D4" s="3">
        <v>3.67339549E8</v>
      </c>
      <c r="E4" s="3">
        <f t="shared" si="1"/>
        <v>4000316</v>
      </c>
      <c r="F4" s="3">
        <f t="shared" si="2"/>
        <v>4.000316</v>
      </c>
      <c r="G4" s="2">
        <v>875.1</v>
      </c>
      <c r="H4" s="3">
        <f t="shared" si="3"/>
        <v>218.7577181</v>
      </c>
      <c r="I4" s="2">
        <v>0.0</v>
      </c>
      <c r="J4" s="2">
        <v>227.0</v>
      </c>
      <c r="K4" s="3">
        <f t="shared" si="4"/>
        <v>113.5</v>
      </c>
      <c r="L4" s="3">
        <f t="shared" si="5"/>
        <v>3.709816159</v>
      </c>
      <c r="M4" s="3">
        <f t="shared" si="6"/>
        <v>0.2904998414</v>
      </c>
      <c r="N4" s="3">
        <f t="shared" si="7"/>
        <v>32.971732</v>
      </c>
      <c r="O4" s="3">
        <f t="shared" si="8"/>
        <v>842.128268</v>
      </c>
      <c r="P4" s="3">
        <f t="shared" si="9"/>
        <v>781.4117863</v>
      </c>
    </row>
    <row r="5" ht="12.75" customHeight="1">
      <c r="A5" s="2" t="s">
        <v>16</v>
      </c>
      <c r="B5" s="2">
        <v>13.0</v>
      </c>
      <c r="C5" s="3">
        <v>4.16643743E8</v>
      </c>
      <c r="D5" s="3">
        <v>4.20644001E8</v>
      </c>
      <c r="E5" s="3">
        <f t="shared" si="1"/>
        <v>4000258</v>
      </c>
      <c r="F5" s="3">
        <f t="shared" si="2"/>
        <v>4.000258</v>
      </c>
      <c r="G5" s="2">
        <v>875.1</v>
      </c>
      <c r="H5" s="3">
        <f t="shared" si="3"/>
        <v>218.7608899</v>
      </c>
      <c r="I5" s="2">
        <v>0.0</v>
      </c>
      <c r="J5" s="2">
        <v>227.0</v>
      </c>
      <c r="K5" s="3">
        <f t="shared" si="4"/>
        <v>113.5</v>
      </c>
      <c r="L5" s="3">
        <f t="shared" si="5"/>
        <v>3.709874159</v>
      </c>
      <c r="M5" s="3">
        <f t="shared" si="6"/>
        <v>0.2903838414</v>
      </c>
      <c r="N5" s="3">
        <f t="shared" si="7"/>
        <v>32.958566</v>
      </c>
      <c r="O5" s="3">
        <f t="shared" si="8"/>
        <v>842.141434</v>
      </c>
      <c r="P5" s="3">
        <f t="shared" si="9"/>
        <v>781.7239379</v>
      </c>
    </row>
    <row r="6" ht="12.75" customHeight="1">
      <c r="A6" s="2" t="s">
        <v>16</v>
      </c>
      <c r="B6" s="2">
        <v>13.0</v>
      </c>
      <c r="C6" s="3">
        <v>9.8269203E8</v>
      </c>
      <c r="D6" s="3">
        <v>9.86792347E8</v>
      </c>
      <c r="E6" s="3">
        <f t="shared" si="1"/>
        <v>4100317</v>
      </c>
      <c r="F6" s="3">
        <f t="shared" si="2"/>
        <v>4.100317</v>
      </c>
      <c r="G6" s="2">
        <v>875.1</v>
      </c>
      <c r="H6" s="3">
        <f t="shared" si="3"/>
        <v>213.4225232</v>
      </c>
      <c r="I6" s="2">
        <v>0.0</v>
      </c>
      <c r="J6" s="2">
        <v>227.0</v>
      </c>
      <c r="K6" s="3">
        <f t="shared" si="4"/>
        <v>113.5</v>
      </c>
      <c r="L6" s="3">
        <f t="shared" si="5"/>
        <v>3.609815159</v>
      </c>
      <c r="M6" s="3">
        <f t="shared" si="6"/>
        <v>0.4905018414</v>
      </c>
      <c r="N6" s="3">
        <f t="shared" si="7"/>
        <v>55.671959</v>
      </c>
      <c r="O6" s="3">
        <f t="shared" si="8"/>
        <v>819.428041</v>
      </c>
      <c r="P6" s="3">
        <f t="shared" si="9"/>
        <v>462.7913309</v>
      </c>
    </row>
    <row r="7" ht="12.75" customHeight="1">
      <c r="A7" s="2" t="s">
        <v>16</v>
      </c>
      <c r="B7" s="4">
        <v>14.0</v>
      </c>
      <c r="C7" s="4">
        <v>6.840482E7</v>
      </c>
      <c r="D7" s="4">
        <v>7.240508E7</v>
      </c>
      <c r="E7" s="3">
        <f t="shared" si="1"/>
        <v>4000260</v>
      </c>
      <c r="F7" s="3">
        <f t="shared" si="2"/>
        <v>4.00026</v>
      </c>
      <c r="G7" s="2">
        <v>875.1</v>
      </c>
      <c r="H7" s="3">
        <f t="shared" si="3"/>
        <v>218.7607805</v>
      </c>
      <c r="I7" s="2">
        <v>0.0</v>
      </c>
      <c r="J7" s="2">
        <v>232.0</v>
      </c>
      <c r="K7" s="3">
        <f t="shared" si="4"/>
        <v>116</v>
      </c>
      <c r="L7" s="3">
        <f t="shared" si="5"/>
        <v>3.543705517</v>
      </c>
      <c r="M7" s="3">
        <f t="shared" si="6"/>
        <v>0.4565544828</v>
      </c>
      <c r="N7" s="3">
        <f t="shared" si="7"/>
        <v>52.96032</v>
      </c>
      <c r="O7" s="3">
        <f t="shared" si="8"/>
        <v>822.13968</v>
      </c>
      <c r="P7" s="3">
        <f t="shared" si="9"/>
        <v>508.1540293</v>
      </c>
    </row>
    <row r="8" ht="12.75" customHeight="1">
      <c r="A8" s="2" t="s">
        <v>16</v>
      </c>
      <c r="B8" s="4">
        <v>14.0</v>
      </c>
      <c r="C8" s="4">
        <v>1.36610707E8</v>
      </c>
      <c r="D8" s="4">
        <v>1.40611093E8</v>
      </c>
      <c r="E8" s="3">
        <f t="shared" si="1"/>
        <v>4000386</v>
      </c>
      <c r="F8" s="3">
        <f t="shared" si="2"/>
        <v>4.000386</v>
      </c>
      <c r="G8" s="2">
        <v>875.1</v>
      </c>
      <c r="H8" s="3">
        <f t="shared" si="3"/>
        <v>218.7538902</v>
      </c>
      <c r="I8" s="2">
        <v>0.0</v>
      </c>
      <c r="J8" s="2">
        <v>232.0</v>
      </c>
      <c r="K8" s="3">
        <f t="shared" si="4"/>
        <v>116</v>
      </c>
      <c r="L8" s="3">
        <f t="shared" si="5"/>
        <v>3.543579517</v>
      </c>
      <c r="M8" s="3">
        <f t="shared" si="6"/>
        <v>0.4568064828</v>
      </c>
      <c r="N8" s="3">
        <f t="shared" si="7"/>
        <v>52.989552</v>
      </c>
      <c r="O8" s="3">
        <f t="shared" si="8"/>
        <v>822.110448</v>
      </c>
      <c r="P8" s="3">
        <f t="shared" si="9"/>
        <v>507.8737031</v>
      </c>
    </row>
    <row r="9" ht="12.75" customHeight="1">
      <c r="A9" s="2" t="s">
        <v>16</v>
      </c>
      <c r="B9" s="4">
        <v>14.0</v>
      </c>
      <c r="C9" s="4">
        <v>1.96915924E8</v>
      </c>
      <c r="D9" s="4">
        <v>2.00916367E8</v>
      </c>
      <c r="E9" s="3">
        <f t="shared" si="1"/>
        <v>4000443</v>
      </c>
      <c r="F9" s="3">
        <f t="shared" si="2"/>
        <v>4.000443</v>
      </c>
      <c r="G9" s="2">
        <v>875.1</v>
      </c>
      <c r="H9" s="3">
        <f t="shared" si="3"/>
        <v>218.7507734</v>
      </c>
      <c r="I9" s="2">
        <v>0.0</v>
      </c>
      <c r="J9" s="2">
        <v>232.0</v>
      </c>
      <c r="K9" s="3">
        <f t="shared" si="4"/>
        <v>116</v>
      </c>
      <c r="L9" s="3">
        <f t="shared" si="5"/>
        <v>3.543522517</v>
      </c>
      <c r="M9" s="3">
        <f t="shared" si="6"/>
        <v>0.4569204828</v>
      </c>
      <c r="N9" s="3">
        <f t="shared" si="7"/>
        <v>53.002776</v>
      </c>
      <c r="O9" s="3">
        <f t="shared" si="8"/>
        <v>822.097224</v>
      </c>
      <c r="P9" s="3">
        <f t="shared" si="9"/>
        <v>507.7469905</v>
      </c>
    </row>
    <row r="10" ht="12.75" customHeight="1">
      <c r="A10" s="2" t="s">
        <v>16</v>
      </c>
      <c r="B10" s="4">
        <v>14.0</v>
      </c>
      <c r="C10" s="4">
        <v>2.50720718E8</v>
      </c>
      <c r="D10" s="4">
        <v>2.54720997E8</v>
      </c>
      <c r="E10" s="3">
        <f t="shared" si="1"/>
        <v>4000279</v>
      </c>
      <c r="F10" s="3">
        <f t="shared" si="2"/>
        <v>4.000279</v>
      </c>
      <c r="G10" s="2">
        <v>875.1</v>
      </c>
      <c r="H10" s="3">
        <f t="shared" si="3"/>
        <v>218.7597415</v>
      </c>
      <c r="I10" s="2">
        <v>0.0</v>
      </c>
      <c r="J10" s="2">
        <v>232.0</v>
      </c>
      <c r="K10" s="3">
        <f t="shared" si="4"/>
        <v>116</v>
      </c>
      <c r="L10" s="3">
        <f t="shared" si="5"/>
        <v>3.543686517</v>
      </c>
      <c r="M10" s="3">
        <f t="shared" si="6"/>
        <v>0.4565924828</v>
      </c>
      <c r="N10" s="3">
        <f t="shared" si="7"/>
        <v>52.964728</v>
      </c>
      <c r="O10" s="3">
        <f t="shared" si="8"/>
        <v>822.135272</v>
      </c>
      <c r="P10" s="3">
        <f t="shared" si="9"/>
        <v>508.1117381</v>
      </c>
    </row>
    <row r="11" ht="12.75" customHeight="1">
      <c r="A11" s="2" t="s">
        <v>16</v>
      </c>
      <c r="B11" s="4">
        <v>14.0</v>
      </c>
      <c r="C11" s="4">
        <v>3.52029488E8</v>
      </c>
      <c r="D11" s="4">
        <v>3.56029849E8</v>
      </c>
      <c r="E11" s="3">
        <f t="shared" si="1"/>
        <v>4000361</v>
      </c>
      <c r="F11" s="3">
        <f t="shared" si="2"/>
        <v>4.000361</v>
      </c>
      <c r="G11" s="2">
        <v>875.1</v>
      </c>
      <c r="H11" s="3">
        <f t="shared" si="3"/>
        <v>218.7552573</v>
      </c>
      <c r="I11" s="2">
        <v>0.0</v>
      </c>
      <c r="J11" s="2">
        <v>232.0</v>
      </c>
      <c r="K11" s="3">
        <f t="shared" si="4"/>
        <v>116</v>
      </c>
      <c r="L11" s="3">
        <f t="shared" si="5"/>
        <v>3.543604517</v>
      </c>
      <c r="M11" s="3">
        <f t="shared" si="6"/>
        <v>0.4567564828</v>
      </c>
      <c r="N11" s="3">
        <f t="shared" si="7"/>
        <v>52.983752</v>
      </c>
      <c r="O11" s="3">
        <f t="shared" si="8"/>
        <v>822.116248</v>
      </c>
      <c r="P11" s="3">
        <f t="shared" si="9"/>
        <v>507.9292988</v>
      </c>
    </row>
    <row r="12" ht="12.75" customHeight="1">
      <c r="A12" s="2" t="s">
        <v>16</v>
      </c>
      <c r="B12" s="4">
        <v>15.0</v>
      </c>
      <c r="C12" s="4">
        <v>6.0129632E7</v>
      </c>
      <c r="D12" s="4">
        <v>6.4130099E7</v>
      </c>
      <c r="E12" s="3">
        <f t="shared" si="1"/>
        <v>4000467</v>
      </c>
      <c r="F12" s="3">
        <f t="shared" si="2"/>
        <v>4.000467</v>
      </c>
      <c r="G12" s="2">
        <v>875.1</v>
      </c>
      <c r="H12" s="3">
        <f t="shared" si="3"/>
        <v>218.749461</v>
      </c>
      <c r="I12" s="2">
        <v>0.0</v>
      </c>
      <c r="J12" s="2">
        <v>242.0</v>
      </c>
      <c r="K12" s="3">
        <f t="shared" si="4"/>
        <v>121</v>
      </c>
      <c r="L12" s="3">
        <f t="shared" si="5"/>
        <v>3.231764405</v>
      </c>
      <c r="M12" s="3">
        <f t="shared" si="6"/>
        <v>0.768702595</v>
      </c>
      <c r="N12" s="3">
        <f t="shared" si="7"/>
        <v>93.013014</v>
      </c>
      <c r="O12" s="3">
        <f t="shared" si="8"/>
        <v>782.086986</v>
      </c>
      <c r="P12" s="3">
        <f t="shared" si="9"/>
        <v>314.8161611</v>
      </c>
    </row>
    <row r="13" ht="12.75" customHeight="1">
      <c r="A13" s="2" t="s">
        <v>16</v>
      </c>
      <c r="B13" s="4">
        <v>15.0</v>
      </c>
      <c r="C13" s="4">
        <v>1.12334173E8</v>
      </c>
      <c r="D13" s="4">
        <v>1.16334585E8</v>
      </c>
      <c r="E13" s="3">
        <f t="shared" si="1"/>
        <v>4000412</v>
      </c>
      <c r="F13" s="3">
        <f t="shared" si="2"/>
        <v>4.000412</v>
      </c>
      <c r="G13" s="2">
        <v>875.1</v>
      </c>
      <c r="H13" s="3">
        <f t="shared" si="3"/>
        <v>218.7524685</v>
      </c>
      <c r="I13" s="2">
        <v>0.0</v>
      </c>
      <c r="J13" s="2">
        <v>242.0</v>
      </c>
      <c r="K13" s="3">
        <f t="shared" si="4"/>
        <v>121</v>
      </c>
      <c r="L13" s="3">
        <f t="shared" si="5"/>
        <v>3.231819405</v>
      </c>
      <c r="M13" s="3">
        <f t="shared" si="6"/>
        <v>0.768592595</v>
      </c>
      <c r="N13" s="3">
        <f t="shared" si="7"/>
        <v>92.999704</v>
      </c>
      <c r="O13" s="3">
        <f t="shared" si="8"/>
        <v>782.100296</v>
      </c>
      <c r="P13" s="3">
        <f t="shared" si="9"/>
        <v>314.8612172</v>
      </c>
    </row>
    <row r="14" ht="12.75" customHeight="1">
      <c r="A14" s="2" t="s">
        <v>16</v>
      </c>
      <c r="B14" s="4">
        <v>15.0</v>
      </c>
      <c r="C14" s="4">
        <v>1.81640268E8</v>
      </c>
      <c r="D14" s="4">
        <v>1.85640559E8</v>
      </c>
      <c r="E14" s="3">
        <f t="shared" si="1"/>
        <v>4000291</v>
      </c>
      <c r="F14" s="3">
        <f t="shared" si="2"/>
        <v>4.000291</v>
      </c>
      <c r="G14" s="2">
        <v>875.1</v>
      </c>
      <c r="H14" s="3">
        <f t="shared" si="3"/>
        <v>218.7590853</v>
      </c>
      <c r="I14" s="2">
        <v>0.0</v>
      </c>
      <c r="J14" s="2">
        <v>242.0</v>
      </c>
      <c r="K14" s="3">
        <f t="shared" si="4"/>
        <v>121</v>
      </c>
      <c r="L14" s="3">
        <f t="shared" si="5"/>
        <v>3.231940405</v>
      </c>
      <c r="M14" s="3">
        <f t="shared" si="6"/>
        <v>0.768350595</v>
      </c>
      <c r="N14" s="3">
        <f t="shared" si="7"/>
        <v>92.970422</v>
      </c>
      <c r="O14" s="3">
        <f t="shared" si="8"/>
        <v>782.129578</v>
      </c>
      <c r="P14" s="3">
        <f t="shared" si="9"/>
        <v>314.960386</v>
      </c>
    </row>
    <row r="15" ht="12.75" customHeight="1">
      <c r="A15" s="2" t="s">
        <v>16</v>
      </c>
      <c r="B15" s="4">
        <v>15.0</v>
      </c>
      <c r="C15" s="4">
        <v>2.28344172E8</v>
      </c>
      <c r="D15" s="4">
        <v>2.32344585E8</v>
      </c>
      <c r="E15" s="3">
        <f t="shared" si="1"/>
        <v>4000413</v>
      </c>
      <c r="F15" s="3">
        <f t="shared" si="2"/>
        <v>4.000413</v>
      </c>
      <c r="G15" s="2">
        <v>875.1</v>
      </c>
      <c r="H15" s="3">
        <f t="shared" si="3"/>
        <v>218.7524138</v>
      </c>
      <c r="I15" s="2">
        <v>0.0</v>
      </c>
      <c r="J15" s="2">
        <v>242.0</v>
      </c>
      <c r="K15" s="3">
        <f t="shared" si="4"/>
        <v>121</v>
      </c>
      <c r="L15" s="3">
        <f t="shared" si="5"/>
        <v>3.231818405</v>
      </c>
      <c r="M15" s="3">
        <f t="shared" si="6"/>
        <v>0.768594595</v>
      </c>
      <c r="N15" s="3">
        <f t="shared" si="7"/>
        <v>92.999946</v>
      </c>
      <c r="O15" s="3">
        <f t="shared" si="8"/>
        <v>782.100054</v>
      </c>
      <c r="P15" s="3">
        <f t="shared" si="9"/>
        <v>314.8603979</v>
      </c>
    </row>
    <row r="16" ht="12.75" customHeight="1">
      <c r="A16" s="2" t="s">
        <v>16</v>
      </c>
      <c r="B16" s="4">
        <v>15.0</v>
      </c>
      <c r="C16" s="4">
        <v>2.73548181E8</v>
      </c>
      <c r="D16" s="4">
        <v>2.7754856E8</v>
      </c>
      <c r="E16" s="3">
        <f t="shared" si="1"/>
        <v>4000379</v>
      </c>
      <c r="F16" s="3">
        <f t="shared" si="2"/>
        <v>4.000379</v>
      </c>
      <c r="G16" s="2">
        <v>875.1</v>
      </c>
      <c r="H16" s="3">
        <f t="shared" si="3"/>
        <v>218.754273</v>
      </c>
      <c r="I16" s="2">
        <v>0.0</v>
      </c>
      <c r="J16" s="2">
        <v>242.0</v>
      </c>
      <c r="K16" s="3">
        <f t="shared" si="4"/>
        <v>121</v>
      </c>
      <c r="L16" s="3">
        <f t="shared" si="5"/>
        <v>3.231852405</v>
      </c>
      <c r="M16" s="3">
        <f t="shared" si="6"/>
        <v>0.768526595</v>
      </c>
      <c r="N16" s="3">
        <f t="shared" si="7"/>
        <v>92.991718</v>
      </c>
      <c r="O16" s="3">
        <f t="shared" si="8"/>
        <v>782.108282</v>
      </c>
      <c r="P16" s="3">
        <f t="shared" si="9"/>
        <v>314.888257</v>
      </c>
    </row>
    <row r="17" ht="12.75" customHeight="1">
      <c r="A17" s="2" t="s">
        <v>17</v>
      </c>
      <c r="B17" s="5">
        <v>13.0</v>
      </c>
      <c r="C17" s="6">
        <v>2.4757369E7</v>
      </c>
      <c r="D17" s="6">
        <v>2.6657594E7</v>
      </c>
      <c r="E17" s="3">
        <f t="shared" si="1"/>
        <v>1900225</v>
      </c>
      <c r="F17" s="3">
        <f t="shared" si="2"/>
        <v>1.900225</v>
      </c>
      <c r="G17" s="5">
        <v>404.2</v>
      </c>
      <c r="H17" s="3">
        <f t="shared" si="3"/>
        <v>212.7116526</v>
      </c>
      <c r="I17" s="2">
        <v>0.0</v>
      </c>
      <c r="J17" s="2">
        <v>226.0</v>
      </c>
      <c r="K17" s="3">
        <f t="shared" si="4"/>
        <v>113</v>
      </c>
      <c r="L17" s="3">
        <f t="shared" si="5"/>
        <v>1.67676615</v>
      </c>
      <c r="M17" s="3">
        <f t="shared" si="6"/>
        <v>0.2234588496</v>
      </c>
      <c r="N17" s="3">
        <f t="shared" si="7"/>
        <v>25.25085</v>
      </c>
      <c r="O17" s="3">
        <f t="shared" si="8"/>
        <v>378.94915</v>
      </c>
      <c r="P17" s="3">
        <f t="shared" si="9"/>
        <v>1011.371894</v>
      </c>
    </row>
    <row r="18" ht="12.75" customHeight="1">
      <c r="A18" s="2" t="s">
        <v>17</v>
      </c>
      <c r="B18" s="5">
        <v>13.0</v>
      </c>
      <c r="C18" s="6">
        <v>7.2561655E7</v>
      </c>
      <c r="D18" s="6">
        <v>7.4461751E7</v>
      </c>
      <c r="E18" s="3">
        <f t="shared" si="1"/>
        <v>1900096</v>
      </c>
      <c r="F18" s="3">
        <f t="shared" si="2"/>
        <v>1.900096</v>
      </c>
      <c r="G18" s="5">
        <v>404.2</v>
      </c>
      <c r="H18" s="3">
        <f t="shared" si="3"/>
        <v>212.7260938</v>
      </c>
      <c r="I18" s="2">
        <v>0.0</v>
      </c>
      <c r="J18" s="2">
        <v>226.0</v>
      </c>
      <c r="K18" s="3">
        <f t="shared" si="4"/>
        <v>113</v>
      </c>
      <c r="L18" s="3">
        <f t="shared" si="5"/>
        <v>1.67689515</v>
      </c>
      <c r="M18" s="3">
        <f t="shared" si="6"/>
        <v>0.2232008496</v>
      </c>
      <c r="N18" s="3">
        <f t="shared" si="7"/>
        <v>25.221696</v>
      </c>
      <c r="O18" s="3">
        <f t="shared" si="8"/>
        <v>378.978304</v>
      </c>
      <c r="P18" s="3">
        <f t="shared" si="9"/>
        <v>1012.540949</v>
      </c>
    </row>
    <row r="19" ht="12.75" customHeight="1">
      <c r="A19" s="2" t="s">
        <v>17</v>
      </c>
      <c r="B19" s="5">
        <v>13.0</v>
      </c>
      <c r="C19" s="6">
        <v>1.18565622E8</v>
      </c>
      <c r="D19" s="6">
        <v>1.20465833E8</v>
      </c>
      <c r="E19" s="3">
        <f t="shared" si="1"/>
        <v>1900211</v>
      </c>
      <c r="F19" s="3">
        <f t="shared" si="2"/>
        <v>1.900211</v>
      </c>
      <c r="G19" s="5">
        <v>404.2</v>
      </c>
      <c r="H19" s="3">
        <f t="shared" si="3"/>
        <v>212.7132197</v>
      </c>
      <c r="I19" s="2">
        <v>0.0</v>
      </c>
      <c r="J19" s="2">
        <v>226.0</v>
      </c>
      <c r="K19" s="3">
        <f t="shared" si="4"/>
        <v>113</v>
      </c>
      <c r="L19" s="3">
        <f t="shared" si="5"/>
        <v>1.67678015</v>
      </c>
      <c r="M19" s="3">
        <f t="shared" si="6"/>
        <v>0.2234308496</v>
      </c>
      <c r="N19" s="3">
        <f t="shared" si="7"/>
        <v>25.247686</v>
      </c>
      <c r="O19" s="3">
        <f t="shared" si="8"/>
        <v>378.952314</v>
      </c>
      <c r="P19" s="3">
        <f t="shared" si="9"/>
        <v>1011.498638</v>
      </c>
    </row>
    <row r="20" ht="12.75" customHeight="1">
      <c r="A20" s="2" t="s">
        <v>17</v>
      </c>
      <c r="B20" s="5">
        <v>13.0</v>
      </c>
      <c r="C20" s="6">
        <v>1.65169824E8</v>
      </c>
      <c r="D20" s="6">
        <v>1.67069865E8</v>
      </c>
      <c r="E20" s="3">
        <f t="shared" si="1"/>
        <v>1900041</v>
      </c>
      <c r="F20" s="3">
        <f t="shared" si="2"/>
        <v>1.900041</v>
      </c>
      <c r="G20" s="5">
        <v>404.2</v>
      </c>
      <c r="H20" s="3">
        <f t="shared" si="3"/>
        <v>212.7322516</v>
      </c>
      <c r="I20" s="2">
        <v>0.0</v>
      </c>
      <c r="J20" s="2">
        <v>226.0</v>
      </c>
      <c r="K20" s="3">
        <f t="shared" si="4"/>
        <v>113</v>
      </c>
      <c r="L20" s="3">
        <f t="shared" si="5"/>
        <v>1.67695015</v>
      </c>
      <c r="M20" s="3">
        <f t="shared" si="6"/>
        <v>0.2230908496</v>
      </c>
      <c r="N20" s="3">
        <f t="shared" si="7"/>
        <v>25.209266</v>
      </c>
      <c r="O20" s="3">
        <f t="shared" si="8"/>
        <v>378.990734</v>
      </c>
      <c r="P20" s="3">
        <f t="shared" si="9"/>
        <v>1013.040205</v>
      </c>
    </row>
    <row r="21" ht="12.75" customHeight="1">
      <c r="A21" s="2" t="s">
        <v>17</v>
      </c>
      <c r="B21" s="5">
        <v>13.0</v>
      </c>
      <c r="C21" s="6">
        <v>2.09873558E8</v>
      </c>
      <c r="D21" s="6">
        <v>2.11873741E8</v>
      </c>
      <c r="E21" s="3">
        <f t="shared" si="1"/>
        <v>2000183</v>
      </c>
      <c r="F21" s="3">
        <f t="shared" si="2"/>
        <v>2.000183</v>
      </c>
      <c r="G21" s="5">
        <v>404.2</v>
      </c>
      <c r="H21" s="3">
        <f t="shared" si="3"/>
        <v>202.0815095</v>
      </c>
      <c r="I21" s="2">
        <v>0.0</v>
      </c>
      <c r="J21" s="2">
        <v>226.0</v>
      </c>
      <c r="K21" s="3">
        <f t="shared" si="4"/>
        <v>113</v>
      </c>
      <c r="L21" s="3">
        <f t="shared" si="5"/>
        <v>1.57680815</v>
      </c>
      <c r="M21" s="3">
        <f t="shared" si="6"/>
        <v>0.4233748496</v>
      </c>
      <c r="N21" s="3">
        <f t="shared" si="7"/>
        <v>47.841358</v>
      </c>
      <c r="O21" s="3">
        <f t="shared" si="8"/>
        <v>356.358642</v>
      </c>
      <c r="P21" s="3">
        <f t="shared" si="9"/>
        <v>533.8059175</v>
      </c>
    </row>
    <row r="22" ht="12.75" customHeight="1">
      <c r="A22" s="2" t="s">
        <v>17</v>
      </c>
      <c r="B22" s="5">
        <v>14.0</v>
      </c>
      <c r="C22" s="6">
        <v>4.8247625E7</v>
      </c>
      <c r="D22" s="6">
        <v>5.0047763E7</v>
      </c>
      <c r="E22" s="3">
        <f t="shared" si="1"/>
        <v>1800138</v>
      </c>
      <c r="F22" s="3">
        <f t="shared" si="2"/>
        <v>1.800138</v>
      </c>
      <c r="G22" s="5">
        <v>404.2</v>
      </c>
      <c r="H22" s="3">
        <f t="shared" si="3"/>
        <v>224.5383409</v>
      </c>
      <c r="I22" s="2">
        <v>0.0</v>
      </c>
      <c r="J22" s="2">
        <v>224.0</v>
      </c>
      <c r="K22" s="3">
        <f t="shared" si="4"/>
        <v>112</v>
      </c>
      <c r="L22" s="3">
        <f t="shared" si="5"/>
        <v>1.808790571</v>
      </c>
      <c r="M22" s="3">
        <f t="shared" si="6"/>
        <v>-0.008652571429</v>
      </c>
      <c r="N22" s="3">
        <f t="shared" si="7"/>
        <v>-0.969088</v>
      </c>
      <c r="O22" s="3">
        <f t="shared" si="8"/>
        <v>405.169088</v>
      </c>
      <c r="P22" s="3">
        <f t="shared" si="9"/>
        <v>-25888.25783</v>
      </c>
    </row>
    <row r="23" ht="12.75" customHeight="1">
      <c r="A23" s="2" t="s">
        <v>17</v>
      </c>
      <c r="B23" s="5">
        <v>14.0</v>
      </c>
      <c r="C23" s="6">
        <v>9.9752096E7</v>
      </c>
      <c r="D23" s="6">
        <v>1.01652332E8</v>
      </c>
      <c r="E23" s="3">
        <f t="shared" si="1"/>
        <v>1900236</v>
      </c>
      <c r="F23" s="3">
        <f t="shared" si="2"/>
        <v>1.900236</v>
      </c>
      <c r="G23" s="5">
        <v>404.2</v>
      </c>
      <c r="H23" s="3">
        <f t="shared" si="3"/>
        <v>212.7104212</v>
      </c>
      <c r="I23" s="2">
        <v>0.0</v>
      </c>
      <c r="J23" s="2">
        <v>224.0</v>
      </c>
      <c r="K23" s="3">
        <f t="shared" si="4"/>
        <v>112</v>
      </c>
      <c r="L23" s="3">
        <f t="shared" si="5"/>
        <v>1.708692571</v>
      </c>
      <c r="M23" s="3">
        <f t="shared" si="6"/>
        <v>0.1915434286</v>
      </c>
      <c r="N23" s="3">
        <f t="shared" si="7"/>
        <v>21.452864</v>
      </c>
      <c r="O23" s="3">
        <f t="shared" si="8"/>
        <v>382.747136</v>
      </c>
      <c r="P23" s="3">
        <f t="shared" si="9"/>
        <v>1169.447585</v>
      </c>
    </row>
    <row r="24" ht="12.75" customHeight="1">
      <c r="A24" s="2" t="s">
        <v>17</v>
      </c>
      <c r="B24" s="5">
        <v>14.0</v>
      </c>
      <c r="C24" s="6">
        <v>1.50456571E8</v>
      </c>
      <c r="D24" s="6">
        <v>1.52356729E8</v>
      </c>
      <c r="E24" s="3">
        <f t="shared" si="1"/>
        <v>1900158</v>
      </c>
      <c r="F24" s="3">
        <f t="shared" si="2"/>
        <v>1.900158</v>
      </c>
      <c r="G24" s="5">
        <v>404.2</v>
      </c>
      <c r="H24" s="3">
        <f t="shared" si="3"/>
        <v>212.7191528</v>
      </c>
      <c r="I24" s="2">
        <v>0.0</v>
      </c>
      <c r="J24" s="2">
        <v>224.0</v>
      </c>
      <c r="K24" s="3">
        <f t="shared" si="4"/>
        <v>112</v>
      </c>
      <c r="L24" s="3">
        <f t="shared" si="5"/>
        <v>1.708770571</v>
      </c>
      <c r="M24" s="3">
        <f t="shared" si="6"/>
        <v>0.1913874286</v>
      </c>
      <c r="N24" s="3">
        <f t="shared" si="7"/>
        <v>21.435392</v>
      </c>
      <c r="O24" s="3">
        <f t="shared" si="8"/>
        <v>382.764608</v>
      </c>
      <c r="P24" s="3">
        <f t="shared" si="9"/>
        <v>1170.400803</v>
      </c>
    </row>
    <row r="25" ht="12.75" customHeight="1">
      <c r="A25" s="2" t="s">
        <v>17</v>
      </c>
      <c r="B25" s="5">
        <v>14.0</v>
      </c>
      <c r="C25" s="6">
        <v>1.98660662E8</v>
      </c>
      <c r="D25" s="6">
        <v>2.00460869E8</v>
      </c>
      <c r="E25" s="3">
        <f t="shared" si="1"/>
        <v>1800207</v>
      </c>
      <c r="F25" s="3">
        <f t="shared" si="2"/>
        <v>1.800207</v>
      </c>
      <c r="G25" s="5">
        <v>404.2</v>
      </c>
      <c r="H25" s="3">
        <f t="shared" si="3"/>
        <v>224.5297346</v>
      </c>
      <c r="I25" s="2">
        <v>0.0</v>
      </c>
      <c r="J25" s="2">
        <v>224.0</v>
      </c>
      <c r="K25" s="3">
        <f t="shared" si="4"/>
        <v>112</v>
      </c>
      <c r="L25" s="3">
        <f t="shared" si="5"/>
        <v>1.808721571</v>
      </c>
      <c r="M25" s="3">
        <f t="shared" si="6"/>
        <v>-0.008514571429</v>
      </c>
      <c r="N25" s="3">
        <f t="shared" si="7"/>
        <v>-0.953632</v>
      </c>
      <c r="O25" s="3">
        <f t="shared" si="8"/>
        <v>405.153632</v>
      </c>
      <c r="P25" s="3">
        <f t="shared" si="9"/>
        <v>-26307.84202</v>
      </c>
    </row>
    <row r="26" ht="12.75" customHeight="1">
      <c r="A26" s="2" t="s">
        <v>17</v>
      </c>
      <c r="B26" s="5">
        <v>14.0</v>
      </c>
      <c r="C26" s="6">
        <v>2.40464368E8</v>
      </c>
      <c r="D26" s="6">
        <v>2.4236457E8</v>
      </c>
      <c r="E26" s="3">
        <f t="shared" si="1"/>
        <v>1900202</v>
      </c>
      <c r="F26" s="3">
        <f t="shared" si="2"/>
        <v>1.900202</v>
      </c>
      <c r="G26" s="5">
        <v>404.2</v>
      </c>
      <c r="H26" s="3">
        <f t="shared" si="3"/>
        <v>212.7142272</v>
      </c>
      <c r="I26" s="2">
        <v>0.0</v>
      </c>
      <c r="J26" s="2">
        <v>224.0</v>
      </c>
      <c r="K26" s="3">
        <f t="shared" si="4"/>
        <v>112</v>
      </c>
      <c r="L26" s="3">
        <f t="shared" si="5"/>
        <v>1.708726571</v>
      </c>
      <c r="M26" s="3">
        <f t="shared" si="6"/>
        <v>0.1914754286</v>
      </c>
      <c r="N26" s="3">
        <f t="shared" si="7"/>
        <v>21.445248</v>
      </c>
      <c r="O26" s="3">
        <f t="shared" si="8"/>
        <v>382.754752</v>
      </c>
      <c r="P26" s="3">
        <f t="shared" si="9"/>
        <v>1169.862899</v>
      </c>
    </row>
    <row r="27" ht="12.75" customHeight="1">
      <c r="A27" s="2" t="s">
        <v>17</v>
      </c>
      <c r="B27" s="5">
        <v>15.0</v>
      </c>
      <c r="C27" s="6">
        <v>5.1551956E7</v>
      </c>
      <c r="D27" s="6">
        <v>5.3452172E7</v>
      </c>
      <c r="E27" s="3">
        <f t="shared" si="1"/>
        <v>1900216</v>
      </c>
      <c r="F27" s="3">
        <f t="shared" si="2"/>
        <v>1.900216</v>
      </c>
      <c r="G27" s="5">
        <v>404.2</v>
      </c>
      <c r="H27" s="3">
        <f t="shared" si="3"/>
        <v>212.71266</v>
      </c>
      <c r="I27" s="2">
        <v>0.0</v>
      </c>
      <c r="J27" s="2">
        <v>226.0</v>
      </c>
      <c r="K27" s="3">
        <f t="shared" si="4"/>
        <v>113</v>
      </c>
      <c r="L27" s="3">
        <f t="shared" si="5"/>
        <v>1.67677515</v>
      </c>
      <c r="M27" s="3">
        <f t="shared" si="6"/>
        <v>0.2234408496</v>
      </c>
      <c r="N27" s="3">
        <f t="shared" si="7"/>
        <v>25.248816</v>
      </c>
      <c r="O27" s="3">
        <f t="shared" si="8"/>
        <v>378.951184</v>
      </c>
      <c r="P27" s="3">
        <f t="shared" si="9"/>
        <v>1011.453369</v>
      </c>
    </row>
    <row r="28" ht="12.75" customHeight="1">
      <c r="A28" s="2" t="s">
        <v>17</v>
      </c>
      <c r="B28" s="5">
        <v>15.0</v>
      </c>
      <c r="C28" s="6">
        <v>1.18657854E8</v>
      </c>
      <c r="D28" s="6">
        <v>1.20558153E8</v>
      </c>
      <c r="E28" s="3">
        <f t="shared" si="1"/>
        <v>1900299</v>
      </c>
      <c r="F28" s="3">
        <f t="shared" si="2"/>
        <v>1.900299</v>
      </c>
      <c r="G28" s="5">
        <v>404.2</v>
      </c>
      <c r="H28" s="3">
        <f t="shared" si="3"/>
        <v>212.7033693</v>
      </c>
      <c r="I28" s="2">
        <v>0.0</v>
      </c>
      <c r="J28" s="2">
        <v>226.0</v>
      </c>
      <c r="K28" s="3">
        <f t="shared" si="4"/>
        <v>113</v>
      </c>
      <c r="L28" s="3">
        <f t="shared" si="5"/>
        <v>1.67669215</v>
      </c>
      <c r="M28" s="3">
        <f t="shared" si="6"/>
        <v>0.2236068496</v>
      </c>
      <c r="N28" s="3">
        <f t="shared" si="7"/>
        <v>25.267574</v>
      </c>
      <c r="O28" s="3">
        <f t="shared" si="8"/>
        <v>378.932426</v>
      </c>
      <c r="P28" s="3">
        <f t="shared" si="9"/>
        <v>1010.702492</v>
      </c>
    </row>
    <row r="29" ht="12.75" customHeight="1">
      <c r="A29" s="2" t="s">
        <v>17</v>
      </c>
      <c r="B29" s="5">
        <v>15.0</v>
      </c>
      <c r="C29" s="6">
        <v>1.69662266E8</v>
      </c>
      <c r="D29" s="6">
        <v>1.71562566E8</v>
      </c>
      <c r="E29" s="3">
        <f t="shared" si="1"/>
        <v>1900300</v>
      </c>
      <c r="F29" s="3">
        <f t="shared" si="2"/>
        <v>1.9003</v>
      </c>
      <c r="G29" s="5">
        <v>404.2</v>
      </c>
      <c r="H29" s="3">
        <f t="shared" si="3"/>
        <v>212.7032574</v>
      </c>
      <c r="I29" s="2">
        <v>0.0</v>
      </c>
      <c r="J29" s="2">
        <v>226.0</v>
      </c>
      <c r="K29" s="3">
        <f t="shared" si="4"/>
        <v>113</v>
      </c>
      <c r="L29" s="3">
        <f t="shared" si="5"/>
        <v>1.67669115</v>
      </c>
      <c r="M29" s="3">
        <f t="shared" si="6"/>
        <v>0.2236088496</v>
      </c>
      <c r="N29" s="3">
        <f t="shared" si="7"/>
        <v>25.2678</v>
      </c>
      <c r="O29" s="3">
        <f t="shared" si="8"/>
        <v>378.9322</v>
      </c>
      <c r="P29" s="3">
        <f t="shared" si="9"/>
        <v>1010.693452</v>
      </c>
    </row>
    <row r="30" ht="12.75" customHeight="1">
      <c r="A30" s="2" t="s">
        <v>17</v>
      </c>
      <c r="B30" s="5">
        <v>15.0</v>
      </c>
      <c r="C30" s="6">
        <v>2.15766218E8</v>
      </c>
      <c r="D30" s="6">
        <v>2.17566508E8</v>
      </c>
      <c r="E30" s="3">
        <f t="shared" si="1"/>
        <v>1800290</v>
      </c>
      <c r="F30" s="3">
        <f t="shared" si="2"/>
        <v>1.80029</v>
      </c>
      <c r="G30" s="5">
        <v>404.2</v>
      </c>
      <c r="H30" s="3">
        <f t="shared" si="3"/>
        <v>224.519383</v>
      </c>
      <c r="I30" s="2">
        <v>0.0</v>
      </c>
      <c r="J30" s="2">
        <v>226.0</v>
      </c>
      <c r="K30" s="3">
        <f t="shared" si="4"/>
        <v>113</v>
      </c>
      <c r="L30" s="3">
        <f t="shared" si="5"/>
        <v>1.77670115</v>
      </c>
      <c r="M30" s="3">
        <f t="shared" si="6"/>
        <v>0.02358884956</v>
      </c>
      <c r="N30" s="3">
        <f t="shared" si="7"/>
        <v>2.66554</v>
      </c>
      <c r="O30" s="3">
        <f t="shared" si="8"/>
        <v>401.53446</v>
      </c>
      <c r="P30" s="3">
        <f t="shared" si="9"/>
        <v>9580.797887</v>
      </c>
    </row>
    <row r="31" ht="12.75" customHeight="1">
      <c r="A31" s="2" t="s">
        <v>17</v>
      </c>
      <c r="B31" s="5">
        <v>15.0</v>
      </c>
      <c r="C31" s="6">
        <v>2.63570448E8</v>
      </c>
      <c r="D31" s="6">
        <v>2.65470759E8</v>
      </c>
      <c r="E31" s="3">
        <f t="shared" si="1"/>
        <v>1900311</v>
      </c>
      <c r="F31" s="3">
        <f t="shared" si="2"/>
        <v>1.900311</v>
      </c>
      <c r="G31" s="5">
        <v>404.2</v>
      </c>
      <c r="H31" s="3">
        <f t="shared" si="3"/>
        <v>212.7020261</v>
      </c>
      <c r="I31" s="2">
        <v>0.0</v>
      </c>
      <c r="J31" s="2">
        <v>226.0</v>
      </c>
      <c r="K31" s="3">
        <f t="shared" si="4"/>
        <v>113</v>
      </c>
      <c r="L31" s="3">
        <f t="shared" si="5"/>
        <v>1.67668015</v>
      </c>
      <c r="M31" s="3">
        <f t="shared" si="6"/>
        <v>0.2236308496</v>
      </c>
      <c r="N31" s="3">
        <f t="shared" si="7"/>
        <v>25.270286</v>
      </c>
      <c r="O31" s="3">
        <f t="shared" si="8"/>
        <v>378.929714</v>
      </c>
      <c r="P31" s="3">
        <f t="shared" si="9"/>
        <v>1010.594023</v>
      </c>
    </row>
    <row r="32" ht="12.75" customHeight="1">
      <c r="A32" s="2" t="s">
        <v>17</v>
      </c>
      <c r="B32" s="5">
        <v>18.0</v>
      </c>
      <c r="C32" s="6">
        <v>4.4455751E7</v>
      </c>
      <c r="D32" s="6">
        <v>4.6355935E7</v>
      </c>
      <c r="E32" s="3">
        <f t="shared" si="1"/>
        <v>1900184</v>
      </c>
      <c r="F32" s="3">
        <f t="shared" si="2"/>
        <v>1.900184</v>
      </c>
      <c r="G32" s="5">
        <v>404.2</v>
      </c>
      <c r="H32" s="3">
        <f t="shared" si="3"/>
        <v>212.7162422</v>
      </c>
      <c r="I32" s="2">
        <v>0.0</v>
      </c>
      <c r="J32" s="2">
        <v>236.0</v>
      </c>
      <c r="K32" s="3">
        <f t="shared" si="4"/>
        <v>118</v>
      </c>
      <c r="L32" s="3">
        <f t="shared" si="5"/>
        <v>1.525239729</v>
      </c>
      <c r="M32" s="3">
        <f t="shared" si="6"/>
        <v>0.3749442712</v>
      </c>
      <c r="N32" s="3">
        <f t="shared" si="7"/>
        <v>44.243424</v>
      </c>
      <c r="O32" s="3">
        <f t="shared" si="8"/>
        <v>359.956576</v>
      </c>
      <c r="P32" s="3">
        <f t="shared" si="9"/>
        <v>629.4268726</v>
      </c>
    </row>
    <row r="33" ht="12.75" customHeight="1">
      <c r="A33" s="2" t="s">
        <v>17</v>
      </c>
      <c r="B33" s="5">
        <v>18.0</v>
      </c>
      <c r="C33" s="6">
        <v>1.0046063E8</v>
      </c>
      <c r="D33" s="6">
        <v>1.02260931E8</v>
      </c>
      <c r="E33" s="3">
        <f t="shared" si="1"/>
        <v>1800301</v>
      </c>
      <c r="F33" s="3">
        <f t="shared" si="2"/>
        <v>1.800301</v>
      </c>
      <c r="G33" s="5">
        <v>404.2</v>
      </c>
      <c r="H33" s="3">
        <f t="shared" si="3"/>
        <v>224.5180112</v>
      </c>
      <c r="I33" s="2">
        <v>0.0</v>
      </c>
      <c r="J33" s="2">
        <v>236.0</v>
      </c>
      <c r="K33" s="3">
        <f t="shared" si="4"/>
        <v>118</v>
      </c>
      <c r="L33" s="3">
        <f t="shared" si="5"/>
        <v>1.625122729</v>
      </c>
      <c r="M33" s="3">
        <f t="shared" si="6"/>
        <v>0.1751782712</v>
      </c>
      <c r="N33" s="3">
        <f t="shared" si="7"/>
        <v>20.671036</v>
      </c>
      <c r="O33" s="3">
        <f t="shared" si="8"/>
        <v>383.528964</v>
      </c>
      <c r="P33" s="3">
        <f t="shared" si="9"/>
        <v>1347.199047</v>
      </c>
    </row>
    <row r="34" ht="12.75" customHeight="1">
      <c r="A34" s="2" t="s">
        <v>17</v>
      </c>
      <c r="B34" s="5">
        <v>18.0</v>
      </c>
      <c r="C34" s="6">
        <v>1.45464716E8</v>
      </c>
      <c r="D34" s="6">
        <v>1.47264888E8</v>
      </c>
      <c r="E34" s="3">
        <f t="shared" si="1"/>
        <v>1800172</v>
      </c>
      <c r="F34" s="3">
        <f t="shared" si="2"/>
        <v>1.800172</v>
      </c>
      <c r="G34" s="5">
        <v>404.2</v>
      </c>
      <c r="H34" s="3">
        <f t="shared" si="3"/>
        <v>224.5341001</v>
      </c>
      <c r="I34" s="2">
        <v>0.0</v>
      </c>
      <c r="J34" s="2">
        <v>236.0</v>
      </c>
      <c r="K34" s="3">
        <f t="shared" si="4"/>
        <v>118</v>
      </c>
      <c r="L34" s="3">
        <f t="shared" si="5"/>
        <v>1.625251729</v>
      </c>
      <c r="M34" s="3">
        <f t="shared" si="6"/>
        <v>0.1749202712</v>
      </c>
      <c r="N34" s="3">
        <f t="shared" si="7"/>
        <v>20.640592</v>
      </c>
      <c r="O34" s="3">
        <f t="shared" si="8"/>
        <v>383.559408</v>
      </c>
      <c r="P34" s="3">
        <f t="shared" si="9"/>
        <v>1349.186109</v>
      </c>
    </row>
    <row r="35" ht="12.75" customHeight="1">
      <c r="A35" s="2" t="s">
        <v>17</v>
      </c>
      <c r="B35" s="5">
        <v>18.0</v>
      </c>
      <c r="C35" s="6">
        <v>1.94869001E8</v>
      </c>
      <c r="D35" s="6">
        <v>1.96669231E8</v>
      </c>
      <c r="E35" s="3">
        <f t="shared" si="1"/>
        <v>1800230</v>
      </c>
      <c r="F35" s="3">
        <f t="shared" si="2"/>
        <v>1.80023</v>
      </c>
      <c r="G35" s="5">
        <v>404.2</v>
      </c>
      <c r="H35" s="3">
        <f t="shared" si="3"/>
        <v>224.526866</v>
      </c>
      <c r="I35" s="2">
        <v>0.0</v>
      </c>
      <c r="J35" s="2">
        <v>236.0</v>
      </c>
      <c r="K35" s="3">
        <f t="shared" si="4"/>
        <v>118</v>
      </c>
      <c r="L35" s="3">
        <f t="shared" si="5"/>
        <v>1.625193729</v>
      </c>
      <c r="M35" s="3">
        <f t="shared" si="6"/>
        <v>0.1750362712</v>
      </c>
      <c r="N35" s="3">
        <f t="shared" si="7"/>
        <v>20.65428</v>
      </c>
      <c r="O35" s="3">
        <f t="shared" si="8"/>
        <v>383.54572</v>
      </c>
      <c r="P35" s="3">
        <f t="shared" si="9"/>
        <v>1348.291976</v>
      </c>
    </row>
    <row r="36" ht="12.75" customHeight="1">
      <c r="A36" s="2" t="s">
        <v>17</v>
      </c>
      <c r="B36" s="2">
        <v>18.0</v>
      </c>
      <c r="C36" s="6">
        <v>2.42773169E8</v>
      </c>
      <c r="D36" s="6">
        <v>2.44673291E8</v>
      </c>
      <c r="E36" s="3">
        <f t="shared" si="1"/>
        <v>1900122</v>
      </c>
      <c r="F36" s="3">
        <f t="shared" si="2"/>
        <v>1.900122</v>
      </c>
      <c r="G36" s="5">
        <v>404.2</v>
      </c>
      <c r="H36" s="3">
        <f t="shared" si="3"/>
        <v>212.723183</v>
      </c>
      <c r="I36" s="2">
        <v>0.0</v>
      </c>
      <c r="J36" s="2">
        <v>236.0</v>
      </c>
      <c r="K36" s="3">
        <f t="shared" si="4"/>
        <v>118</v>
      </c>
      <c r="L36" s="3">
        <f t="shared" si="5"/>
        <v>1.525301729</v>
      </c>
      <c r="M36" s="3">
        <f t="shared" si="6"/>
        <v>0.3748202712</v>
      </c>
      <c r="N36" s="3">
        <f t="shared" si="7"/>
        <v>44.228792</v>
      </c>
      <c r="O36" s="3">
        <f t="shared" si="8"/>
        <v>359.971208</v>
      </c>
      <c r="P36" s="3">
        <f t="shared" si="9"/>
        <v>629.6351029</v>
      </c>
    </row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</sheetData>
  <autoFilter ref="$A$1:$P$36"/>
  <printOptions/>
  <pageMargins bottom="1.05277777777778" footer="0.0" header="0.0" left="0.7875" right="0.7875" top="1.05277777777778"/>
  <pageSetup orientation="portrait"/>
  <headerFooter>
    <oddHeader>&amp;C&amp;A</oddHeader>
    <oddFooter>&amp;CPage 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2026-03-16T18:37:15Z</dcterms:created>
</cp:coreProperties>
</file>